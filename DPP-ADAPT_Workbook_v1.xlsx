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drawings/drawing11.xml" ContentType="application/vnd.openxmlformats-officedocument.drawing+xml"/>
  <Override PartName="/xl/comments4.xml" ContentType="application/vnd.openxmlformats-officedocument.spreadsheetml.comments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kas/Documents/Studium/Masters thesis/github/"/>
    </mc:Choice>
  </mc:AlternateContent>
  <xr:revisionPtr revIDLastSave="0" documentId="13_ncr:1_{385051B5-52C4-D745-98C6-6C59BD9ED8AD}" xr6:coauthVersionLast="47" xr6:coauthVersionMax="47" xr10:uidLastSave="{00000000-0000-0000-0000-000000000000}"/>
  <bookViews>
    <workbookView xWindow="20780" yWindow="5900" windowWidth="27640" windowHeight="16940" xr2:uid="{2E6E4973-0E2C-B24C-96A6-43D6B42971A9}"/>
  </bookViews>
  <sheets>
    <sheet name="1_Dashboard" sheetId="2" r:id="rId1"/>
    <sheet name="2_Method_Map" sheetId="4" r:id="rId2"/>
    <sheet name="3_P0_Readiness" sheetId="5" r:id="rId3"/>
    <sheet name="4_P0_RACI" sheetId="3" r:id="rId4"/>
    <sheet name="5_P1_Scope" sheetId="6" r:id="rId5"/>
    <sheet name="6_P2_Touchpoints" sheetId="13" r:id="rId6"/>
    <sheet name="7_P2_Attributes" sheetId="14" r:id="rId7"/>
    <sheet name="8_P3_Mapping" sheetId="7" r:id="rId8"/>
    <sheet name="9_P3_Apps" sheetId="8" r:id="rId9"/>
    <sheet name="10_P4_Pattern" sheetId="9" r:id="rId10"/>
    <sheet name="11_P5_Roadmap" sheetId="10" r:id="rId11"/>
    <sheet name="12_P6_Evaluation" sheetId="11" r:id="rId12"/>
    <sheet name="13_Reference" sheetId="12" r:id="rId1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2" i="14" l="1"/>
  <c r="L12" i="14"/>
  <c r="K13" i="14"/>
  <c r="L13" i="14" s="1"/>
  <c r="K14" i="14"/>
  <c r="L14" i="14" s="1"/>
  <c r="K15" i="14"/>
  <c r="L15" i="14" s="1"/>
  <c r="K16" i="14"/>
  <c r="L16" i="14" s="1"/>
  <c r="K17" i="14"/>
  <c r="L17" i="14" s="1"/>
  <c r="K18" i="14"/>
  <c r="L18" i="14"/>
  <c r="K19" i="14"/>
  <c r="L19" i="14" s="1"/>
  <c r="K20" i="14"/>
  <c r="L20" i="14" s="1"/>
  <c r="K21" i="14"/>
  <c r="L21" i="14"/>
  <c r="I10" i="13"/>
  <c r="I11" i="13"/>
  <c r="I12" i="13"/>
  <c r="I13" i="13"/>
  <c r="I14" i="13"/>
  <c r="I15" i="13"/>
  <c r="I16" i="13"/>
  <c r="I17" i="13"/>
  <c r="C20" i="13"/>
  <c r="F10" i="11"/>
  <c r="F11" i="11"/>
  <c r="F12" i="11"/>
  <c r="F13" i="11"/>
  <c r="F14" i="11"/>
  <c r="F15" i="11"/>
  <c r="F16" i="11"/>
  <c r="J37" i="10"/>
  <c r="O37" i="10"/>
  <c r="P37" i="10" s="1"/>
  <c r="J38" i="10"/>
  <c r="O38" i="10"/>
  <c r="P38" i="10" s="1"/>
  <c r="J39" i="10"/>
  <c r="O39" i="10"/>
  <c r="P39" i="10"/>
  <c r="J40" i="10"/>
  <c r="O40" i="10"/>
  <c r="P40" i="10" s="1"/>
  <c r="J41" i="10"/>
  <c r="O41" i="10"/>
  <c r="P41" i="10"/>
  <c r="J42" i="10"/>
  <c r="O42" i="10"/>
  <c r="P42" i="10" s="1"/>
  <c r="J43" i="10"/>
  <c r="O43" i="10"/>
  <c r="P43" i="10" s="1"/>
  <c r="C17" i="9"/>
  <c r="F17" i="9"/>
  <c r="C19" i="9"/>
  <c r="C20" i="9" s="1"/>
  <c r="D19" i="9"/>
  <c r="E19" i="9"/>
  <c r="C28" i="8"/>
  <c r="C20" i="7"/>
  <c r="C21" i="7"/>
  <c r="F14" i="6"/>
  <c r="F15" i="6"/>
  <c r="F16" i="6"/>
  <c r="F17" i="6"/>
  <c r="F18" i="6"/>
  <c r="E34" i="6"/>
  <c r="E35" i="6"/>
  <c r="E36" i="6"/>
  <c r="E37" i="6"/>
  <c r="E38" i="6"/>
  <c r="E39" i="6"/>
  <c r="E40" i="6"/>
  <c r="E41" i="6"/>
  <c r="E42" i="6"/>
  <c r="G10" i="5"/>
  <c r="G11" i="5"/>
  <c r="G12" i="5"/>
  <c r="G13" i="5"/>
  <c r="G14" i="5"/>
  <c r="G15" i="5"/>
  <c r="G16" i="5"/>
  <c r="G17" i="5"/>
  <c r="G18" i="5"/>
  <c r="G19" i="5"/>
  <c r="G20" i="5"/>
  <c r="G21" i="5"/>
  <c r="H20" i="5" s="1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H17" i="3"/>
  <c r="H16" i="3"/>
  <c r="H15" i="3"/>
  <c r="H14" i="3"/>
  <c r="H13" i="3"/>
  <c r="H12" i="3"/>
  <c r="H11" i="3"/>
  <c r="H10" i="3"/>
  <c r="C22" i="2"/>
  <c r="C21" i="2"/>
  <c r="C18" i="2"/>
  <c r="I5" i="2"/>
  <c r="H5" i="2"/>
  <c r="G5" i="2"/>
  <c r="F5" i="2"/>
  <c r="E5" i="2"/>
  <c r="D5" i="2"/>
  <c r="C5" i="2"/>
  <c r="D38" i="3"/>
  <c r="C37" i="3"/>
  <c r="C38" i="3"/>
  <c r="D37" i="3"/>
  <c r="H25" i="5" l="1"/>
  <c r="H10" i="5"/>
  <c r="H30" i="5"/>
  <c r="C23" i="9"/>
  <c r="C17" i="2" s="1"/>
  <c r="H15" i="5"/>
  <c r="C37" i="5" s="1"/>
  <c r="C22" i="9"/>
  <c r="C16" i="2" s="1"/>
  <c r="E20" i="9"/>
  <c r="C23" i="2"/>
  <c r="C37" i="14"/>
  <c r="C39" i="14"/>
  <c r="C38" i="14"/>
  <c r="C40" i="14"/>
  <c r="C26" i="2"/>
  <c r="C25" i="2"/>
  <c r="C24" i="2"/>
  <c r="D20" i="9"/>
  <c r="C8" i="2"/>
  <c r="C12" i="2"/>
  <c r="C10" i="2"/>
  <c r="C11" i="2"/>
  <c r="C21" i="13" l="1"/>
  <c r="C22" i="13" s="1"/>
  <c r="C27" i="9"/>
  <c r="C9" i="2"/>
  <c r="G37" i="5"/>
  <c r="E37" i="5"/>
  <c r="C13" i="2"/>
  <c r="E1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9" authorId="0" shapeId="0" xr:uid="{00000000-0006-0000-0200-000002000000}">
      <text>
        <r>
          <rPr>
            <sz val="10"/>
            <color rgb="FF000000"/>
            <rFont val="Arial"/>
            <family val="2"/>
          </rPr>
          <t>1 = Strongly disagree, 2 = Disagree, 3 = Neutral, 4 = Agree, 5 = Strongly agree. Score must reflect documented evidence (cell D).</t>
        </r>
      </text>
    </comment>
    <comment ref="C37" authorId="0" shapeId="0" xr:uid="{00000000-0006-0000-0200-000001000000}">
      <text>
        <r>
          <rPr>
            <sz val="10"/>
            <color rgb="FF000000"/>
            <rFont val="Arial"/>
            <family val="2"/>
          </rPr>
          <t>Average of five dimension averages. Bands: &lt;2 Low; 2–3.5 Medium; &gt;3.5 High.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11" authorId="0" shapeId="0" xr:uid="{00000000-0006-0000-0600-000001000000}">
      <text>
        <r>
          <rPr>
            <sz val="10"/>
            <color rgb="FF000000"/>
            <rFont val="Arial"/>
            <family val="2"/>
          </rPr>
          <t>Relevance (1–5): how relevant the attribute is to a procurement-relevant sustainability concern for this product family.</t>
        </r>
      </text>
    </comment>
    <comment ref="F11" authorId="0" shapeId="0" xr:uid="{00000000-0006-0000-0600-000002000000}">
      <text>
        <r>
          <rPr>
            <sz val="10"/>
            <color rgb="FF000000"/>
            <rFont val="Arial"/>
            <family val="2"/>
          </rPr>
          <t>Evidence confidence (1–5): the strength of the source(s) that can deliver the value (DPP, third-party certification, supplier declaration).</t>
        </r>
      </text>
    </comment>
    <comment ref="G11" authorId="0" shapeId="0" xr:uid="{00000000-0006-0000-0600-000003000000}">
      <text>
        <r>
          <rPr>
            <sz val="10"/>
            <color rgb="FF000000"/>
            <rFont val="Arial"/>
            <family val="2"/>
          </rPr>
          <t>Verifiability (1–5): the practicality of independently re-testing or auditing the claim.</t>
        </r>
      </text>
    </comment>
    <comment ref="K11" authorId="0" shapeId="0" xr:uid="{00000000-0006-0000-0600-000004000000}">
      <text>
        <r>
          <rPr>
            <sz val="10"/>
            <color rgb="FF000000"/>
            <rFont val="Arial"/>
            <family val="2"/>
          </rPr>
          <t>Combined = wR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>R + wE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>E + wV</t>
        </r>
        <r>
          <rPr>
            <sz val="10"/>
            <color rgb="FF000000"/>
            <rFont val="Arial"/>
            <family val="2"/>
          </rPr>
          <t>×</t>
        </r>
        <r>
          <rPr>
            <sz val="10"/>
            <color rgb="FF000000"/>
            <rFont val="Arial"/>
            <family val="2"/>
          </rPr>
          <t>V. Defaults wR=0.4 wE=0.4 wV=0.2 (see Sheet 2 for rationale). Recommendation: &gt;=4.0 → Use as criterion; 3.0–&lt;4.0 → Use for verification; &lt;3.0 → Market exploration only.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F9" authorId="0" shapeId="0" xr:uid="{00000000-0006-0000-0900-000001000000}">
      <text>
        <r>
          <rPr>
            <sz val="10"/>
            <color rgb="FF000000"/>
            <rFont val="Arial"/>
            <family val="2"/>
          </rPr>
          <t>Weights must sum to 1.00. Defaults reflect the rationale on Sheet 2: Readiness and Use-case fit are highest (0.20 each); Governance load and Cost mid (0.15 each, inverted); Scalability, Time-to-value, and Future-proofness lower (0.10 each).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23" authorId="0" shapeId="0" xr:uid="{00000000-0006-0000-0A00-000001000000}">
      <text>
        <r>
          <rPr>
            <sz val="10"/>
            <rFont val="Arial"/>
            <family val="2"/>
          </rPr>
          <t>Start month — number of months from project start (M0).</t>
        </r>
      </text>
    </comment>
    <comment ref="I23" authorId="0" shapeId="0" xr:uid="{00000000-0006-0000-0A00-000003000000}">
      <text>
        <r>
          <rPr>
            <sz val="10"/>
            <rFont val="Arial"/>
            <family val="2"/>
          </rPr>
          <t>End month — number of months from project start.</t>
        </r>
      </text>
    </comment>
    <comment ref="J23" authorId="0" shapeId="0" xr:uid="{00000000-0006-0000-0A00-000005000000}">
      <text>
        <r>
          <rPr>
            <sz val="10"/>
            <rFont val="Arial"/>
            <family val="2"/>
          </rPr>
          <t>Effort estimate in person-days (PD).</t>
        </r>
      </text>
    </comment>
    <comment ref="H37" authorId="0" shapeId="0" xr:uid="{00000000-0006-0000-0A00-000002000000}">
      <text>
        <r>
          <rPr>
            <sz val="10"/>
            <color rgb="FF000000"/>
            <rFont val="Arial"/>
            <family val="2"/>
          </rPr>
          <t>Likelihood 1 (rare) to 5 (almost certain).</t>
        </r>
      </text>
    </comment>
    <comment ref="I37" authorId="0" shapeId="0" xr:uid="{00000000-0006-0000-0A00-000004000000}">
      <text>
        <r>
          <rPr>
            <sz val="10"/>
            <color rgb="FF000000"/>
            <rFont val="Arial"/>
            <family val="2"/>
          </rPr>
          <t>Impact 1 (negligible) to 5 (severe).</t>
        </r>
      </text>
    </comment>
    <comment ref="P37" authorId="0" shapeId="0" xr:uid="{00000000-0006-0000-0A00-000006000000}">
      <text>
        <r>
          <rPr>
            <sz val="10"/>
            <color rgb="FF000000"/>
            <rFont val="Arial"/>
            <family val="2"/>
          </rPr>
          <t>RAG threshold: &lt;6 Green; 6–14 Amber; ≥15 Red.</t>
        </r>
      </text>
    </comment>
  </commentList>
</comments>
</file>

<file path=xl/sharedStrings.xml><?xml version="1.0" encoding="utf-8"?>
<sst xmlns="http://schemas.openxmlformats.org/spreadsheetml/2006/main" count="1050" uniqueCount="627">
  <si>
    <t>DPP-ADAPT: This is the steering committee dashboard.  All values are pulled from phase sheets; edit phase sheets, charts and tiles auto-update on recalc.</t>
  </si>
  <si>
    <t>Phase progress</t>
  </si>
  <si>
    <t>P0</t>
  </si>
  <si>
    <t>P1</t>
  </si>
  <si>
    <t>P2</t>
  </si>
  <si>
    <t>P3</t>
  </si>
  <si>
    <t>P4</t>
  </si>
  <si>
    <t>P5</t>
  </si>
  <si>
    <t>P6</t>
  </si>
  <si>
    <t>Readiness (P0)</t>
  </si>
  <si>
    <t>Readiness radar</t>
  </si>
  <si>
    <t>Data</t>
  </si>
  <si>
    <t>Process</t>
  </si>
  <si>
    <t>Governance</t>
  </si>
  <si>
    <t>Application</t>
  </si>
  <si>
    <t>External Ecosystem</t>
  </si>
  <si>
    <t>Overall</t>
  </si>
  <si>
    <t>Rating</t>
  </si>
  <si>
    <t>Integration pattern (P4)</t>
  </si>
  <si>
    <t>Chosen pattern</t>
  </si>
  <si>
    <t>Weighted total</t>
  </si>
  <si>
    <t>Statement</t>
  </si>
  <si>
    <t>Indicators (P6)</t>
  </si>
  <si>
    <t>Attribute combined scores</t>
  </si>
  <si>
    <t>Mapping coverage (%)</t>
  </si>
  <si>
    <t>Touchpoints active</t>
  </si>
  <si>
    <t>Approved attributes</t>
  </si>
  <si>
    <t>Risks — Red</t>
  </si>
  <si>
    <t>Risks — Amber</t>
  </si>
  <si>
    <t>Risks — Green</t>
  </si>
  <si>
    <t>Legend</t>
  </si>
  <si>
    <t>Blue text</t>
  </si>
  <si>
    <t>Hardcoded input</t>
  </si>
  <si>
    <t>Black text</t>
  </si>
  <si>
    <t>Formula — do not overwrite</t>
  </si>
  <si>
    <t>Green text</t>
  </si>
  <si>
    <t>Cross-sheet link</t>
  </si>
  <si>
    <t>Yellow / Amber fill</t>
  </si>
  <si>
    <t>Needs attention</t>
  </si>
  <si>
    <t>Red fill</t>
  </si>
  <si>
    <t>Failure / blocked / red risk</t>
  </si>
  <si>
    <t>Green fill</t>
  </si>
  <si>
    <t>Passed / approved / green risk</t>
  </si>
  <si>
    <t>P0 – Stakeholders and RACI</t>
  </si>
  <si>
    <t>Purpose</t>
  </si>
  <si>
    <t>Identify stakeholders and assign decision rights using RACI.</t>
  </si>
  <si>
    <t>Inputs from</t>
  </si>
  <si>
    <t>Project group nomination; existing governance structures.</t>
  </si>
  <si>
    <t>Outputs to</t>
  </si>
  <si>
    <t>Approved RACI used throughout P1–P6.</t>
  </si>
  <si>
    <t>RACI summary</t>
  </si>
  <si>
    <t>R: Project Manager; A: Sponsor; C: All roles; I: External liaisons.</t>
  </si>
  <si>
    <t>Phase sign-off</t>
  </si>
  <si>
    <t>Open</t>
  </si>
  <si>
    <t>Signed by</t>
  </si>
  <si>
    <t>please fill</t>
  </si>
  <si>
    <t>Date</t>
  </si>
  <si>
    <t>Stakeholder register</t>
  </si>
  <si>
    <t>Name / placeholder</t>
  </si>
  <si>
    <t>Organisation / unit</t>
  </si>
  <si>
    <t>Role</t>
  </si>
  <si>
    <t>Internal/External</t>
  </si>
  <si>
    <t>Interest (1–5)</t>
  </si>
  <si>
    <t>Influence (1–5)</t>
  </si>
  <si>
    <t>Influence</t>
  </si>
  <si>
    <t>Procurement Lead</t>
  </si>
  <si>
    <t>Owner of in-scope tender</t>
  </si>
  <si>
    <t>Internal</t>
  </si>
  <si>
    <t>Sustainability Lead</t>
  </si>
  <si>
    <t>Owner of sustainability objectives</t>
  </si>
  <si>
    <t>Legal Counsel</t>
  </si>
  <si>
    <t>Procurement-law assurance</t>
  </si>
  <si>
    <t>Enterprise Architect</t>
  </si>
  <si>
    <t>Owner of architectural views</t>
  </si>
  <si>
    <t>Data Steward</t>
  </si>
  <si>
    <t>Owner of semantic mapping</t>
  </si>
  <si>
    <t>IT Integration Lead</t>
  </si>
  <si>
    <t>Owner of integration realisation</t>
  </si>
  <si>
    <t>Funding sign-off</t>
  </si>
  <si>
    <t>Institute-level sign-off and funding</t>
  </si>
  <si>
    <t>Market Surveillance Liaison</t>
  </si>
  <si>
    <t>Liaison to surveillance</t>
  </si>
  <si>
    <t>External</t>
  </si>
  <si>
    <t>RACI matrix (R Responsible, A Accountable, C Consulted, I Informed)</t>
  </si>
  <si>
    <t>Activity cluster</t>
  </si>
  <si>
    <t>Phase</t>
  </si>
  <si>
    <t>Proc.Lead</t>
  </si>
  <si>
    <t>Sustain.Lead</t>
  </si>
  <si>
    <t>Legal</t>
  </si>
  <si>
    <t>EA</t>
  </si>
  <si>
    <t>Data Stwd</t>
  </si>
  <si>
    <t>IT Int.</t>
  </si>
  <si>
    <t>Sponsor</t>
  </si>
  <si>
    <t>MS Liaison</t>
  </si>
  <si>
    <t>Readiness self-assessment</t>
  </si>
  <si>
    <t>C</t>
  </si>
  <si>
    <t>R</t>
  </si>
  <si>
    <t>A</t>
  </si>
  <si>
    <t>I</t>
  </si>
  <si>
    <t>Stakeholder &amp; RACI</t>
  </si>
  <si>
    <t>Scope &amp; motivation</t>
  </si>
  <si>
    <t>Capability gap, views V1–V2</t>
  </si>
  <si>
    <t>Touchpoint matrix</t>
  </si>
  <si>
    <t>Attribute scoring</t>
  </si>
  <si>
    <t>Procurement-use role decisions</t>
  </si>
  <si>
    <t>Semantic mapping</t>
  </si>
  <si>
    <t>Application &amp; info inventory, V4</t>
  </si>
  <si>
    <t>Pattern scoring &amp; V5</t>
  </si>
  <si>
    <t>Roadmap, work packages</t>
  </si>
  <si>
    <t>Risk register</t>
  </si>
  <si>
    <t>Indicators &amp; evaluation</t>
  </si>
  <si>
    <t>RACI validity checks</t>
  </si>
  <si>
    <t>Rule</t>
  </si>
  <si>
    <t>Result</t>
  </si>
  <si>
    <t>Count of violations</t>
  </si>
  <si>
    <t>Exactly one A per row</t>
  </si>
  <si>
    <t>At least one R per row</t>
  </si>
  <si>
    <t>Weights are configurable per project and have been chosen according to the researchers preference of which defaults reflect the rationale above. Sums must equal 1.00 (enforced on Sheet 10).</t>
  </si>
  <si>
    <t>Lower tier: the trajectory of EU portal mechanisms is uncertain. Weighted enough to influence ties but not to dominate decisions whose horizon is short.</t>
  </si>
  <si>
    <t>Future-proofness vs EU portal at 0.10</t>
  </si>
  <si>
    <t>Lower tier: agility matters but the method explicitly stages first implementations. Inverted.</t>
  </si>
  <si>
    <t>Time-to-value at 0.10 (inverted)</t>
  </si>
  <si>
    <t>Lower tier for a first implementation: most first implementations are low-volume.</t>
  </si>
  <si>
    <t>Volume scalability at 0.10</t>
  </si>
  <si>
    <t>Mid tier. Public-sector budgets are finite. Inverted so that low cost → high score.</t>
  </si>
  <si>
    <t>Total cost at 0.15 (inverted)</t>
  </si>
  <si>
    <t>Mid tier. Governance overhead consumes capacity. Inverted so that low load → high score.</t>
  </si>
  <si>
    <t>Governance load at 0.15 (inverted)</t>
  </si>
  <si>
    <t>Highest tier. A pattern that does not fit the chosen touchpoints (P2) wastes investment regardless of how mature the authority is.</t>
  </si>
  <si>
    <t>Use-case fit at 0.20</t>
  </si>
  <si>
    <t>Highest tier together with use-case fit. DR1 makes readiness the binding constraint: choosing a pattern beyond readiness fails in delivery.</t>
  </si>
  <si>
    <t>Readiness fit at 0.20</t>
  </si>
  <si>
    <t>Sheet 10: pattern selection (weighted sum across 7 dimensions)</t>
  </si>
  <si>
    <t>Whether the authority and external bodies can re-test or audit the claim. Lower weight than R and E because partial verifiability can be compensated by procurement-process safeguards (e.g., self-declaration + spot checks). Treated as a quality dimension rather than a precondition.</t>
  </si>
  <si>
    <t>Verifiability at 0.20</t>
  </si>
  <si>
    <t>Whether DPP and supporting sources can actually provide the value with traceable provenance. Independent of relevance, so it must hold separately and is weighted equally.</t>
  </si>
  <si>
    <t>Evidence confidence at 0.40</t>
  </si>
  <si>
    <t>Whether the attribute speaks to a procurement-relevant sustainability concern. If irrelevant, the data is uninteresting regardless of how reliable it is. Equal weight with Evidence reflects that both are necessary conditions.</t>
  </si>
  <si>
    <t>Relevance at 0.40</t>
  </si>
  <si>
    <t>Sheet 7: attribute scoring (Combined = 0.4 R + 0.4 E + 0.2 V)</t>
  </si>
  <si>
    <t>All justifications of scoring logic and choice of EA and PM tools can be found in the final thesis doc.</t>
  </si>
  <si>
    <t>Default weights and rationale</t>
  </si>
  <si>
    <t>• Cell comments (red corner) document formulas, thresholds, and provenance.</t>
  </si>
  <si>
    <t>• Scoring scales are 1 (low) to 5 (high) unless otherwise indicated in the sheet header.</t>
  </si>
  <si>
    <t>• Dashboard phase tiles pull directly from these sign-off cells.</t>
  </si>
  <si>
    <t>• Each phase sheet has a sign-off cell at B6 (drop-down: Open / In review / Signed off).</t>
  </si>
  <si>
    <t>• Blue text = hardcoded inputs. Black = formulas. Green = cross-sheet links.</t>
  </si>
  <si>
    <t>Conventions</t>
  </si>
  <si>
    <t>Governance, indicators, evaluation.</t>
  </si>
  <si>
    <t>P6 Implementation Gov.</t>
  </si>
  <si>
    <t>Roadmap with plateaus, work packages, risks</t>
  </si>
  <si>
    <t>P5 Transition</t>
  </si>
  <si>
    <t>Pattern selection scoring across 7 dimensions (3 patterns: 1 Manual look-up, 2a Central database, 2b Dataspace connector)</t>
  </si>
  <si>
    <t>P4 Technology Pattern</t>
  </si>
  <si>
    <t>8, 9</t>
  </si>
  <si>
    <t>Semantic mapping, application inventory</t>
  </si>
  <si>
    <t>P3 Information &amp; Appl.</t>
  </si>
  <si>
    <t>6, 7</t>
  </si>
  <si>
    <t>Touchpoints and DPP attribute scoring, procurement-use role</t>
  </si>
  <si>
    <t>P2 Business Architecture</t>
  </si>
  <si>
    <t>Confirm motivation, choose product family, capability gap</t>
  </si>
  <si>
    <t>P1 Architecture Vision</t>
  </si>
  <si>
    <t>3, 4</t>
  </si>
  <si>
    <t>Assess readiness, set governance and decision rights.</t>
  </si>
  <si>
    <t>P0 Preliminary</t>
  </si>
  <si>
    <t>Sheet(s)</t>
  </si>
  <si>
    <t>DPP-ADAPT — Method map and instructions</t>
  </si>
  <si>
    <t>Recom-mended pattern range</t>
  </si>
  <si>
    <t>Maturity level</t>
  </si>
  <si>
    <t>Overall score</t>
  </si>
  <si>
    <t>Overall readiness summary</t>
  </si>
  <si>
    <t>We have ICT supplier-base maturity to support DPP attributes.</t>
  </si>
  <si>
    <t>We engage suppliers on DPP readiness.</t>
  </si>
  <si>
    <t>We have liaison with market surveillance authorities.</t>
  </si>
  <si>
    <t>We have channels to relevant standards bodies.</t>
  </si>
  <si>
    <t>We monitor EU DPP regulatory developments.</t>
  </si>
  <si>
    <t>We can audit-log access to procurement data.</t>
  </si>
  <si>
    <t>We have authentication and authorisation across procurement applications.</t>
  </si>
  <si>
    <t>Our applications expose APIs for procurement data.</t>
  </si>
  <si>
    <t>We have an integration capability (broker or hub).</t>
  </si>
  <si>
    <t>Our e-procurement platform supports extensions or APIs.</t>
  </si>
  <si>
    <t>We have an internal-audit relationship for procurement records.</t>
  </si>
  <si>
    <t>We have a change management process for procurement tools.</t>
  </si>
  <si>
    <t>We coordinate with legal on contestable criteria.</t>
  </si>
  <si>
    <t>We have a sponsor and steering committee model.</t>
  </si>
  <si>
    <t>We have defined decision rights for procurement IT changes.</t>
  </si>
  <si>
    <t>We capture evidence in a structured tender file.</t>
  </si>
  <si>
    <t>We can distinguish exclusion, qualification, and award criteria operationally.</t>
  </si>
  <si>
    <t>We have post-award verification practice.</t>
  </si>
  <si>
    <t>We have repeatable practice for sustainable specifications.</t>
  </si>
  <si>
    <t>Our procurement process is documented end-to-end.</t>
  </si>
  <si>
    <t>We have a data entry role assigned.</t>
  </si>
  <si>
    <t>We use a controlled vocabulary for product attributes.</t>
  </si>
  <si>
    <t>We can store and retrieve attribute snapshots persistently.</t>
  </si>
  <si>
    <t>We have a defined data-quality process for supplier-provided data.</t>
  </si>
  <si>
    <t>We have a product master with consistent identifiers.</t>
  </si>
  <si>
    <t>Dim avg</t>
  </si>
  <si>
    <t>Weighted</t>
  </si>
  <si>
    <t>Weight</t>
  </si>
  <si>
    <t>Score (1–5)</t>
  </si>
  <si>
    <t>Evidence source</t>
  </si>
  <si>
    <t>Dimension</t>
  </si>
  <si>
    <t>Readiness self-assessment (25 statements = 5 statements × 5 dimensions; 1=Disagree to 5=Agree)</t>
  </si>
  <si>
    <t>R: Enterprise Architect; A: Sponsor; C: Procurement Lead, IT Integration Lead; I: All.</t>
  </si>
  <si>
    <t>Readiness band → Sheet 1 dashboard; recommended pattern range → Sheet 10.</t>
  </si>
  <si>
    <t>Procurement and sustainability strategy; application inventory; sponsor candidates.</t>
  </si>
  <si>
    <t>Assess readiness across five dimensions to inform operating-model and pattern range.</t>
  </si>
  <si>
    <t>P0 – Preliminary: readiness and setup</t>
  </si>
  <si>
    <t>Sustainability reporting</t>
  </si>
  <si>
    <t>Legal compliance assurance</t>
  </si>
  <si>
    <t>Enterprise integration</t>
  </si>
  <si>
    <t>Data stewardship</t>
  </si>
  <si>
    <t>Contract management</t>
  </si>
  <si>
    <t>Tender evaluation</t>
  </si>
  <si>
    <t>Specification authoring</t>
  </si>
  <si>
    <t>Market exploration</t>
  </si>
  <si>
    <t>Sustainable procurement planning</t>
  </si>
  <si>
    <t>Notes</t>
  </si>
  <si>
    <t>Gap</t>
  </si>
  <si>
    <t>Target (1–5)</t>
  </si>
  <si>
    <t>Current (1–5)</t>
  </si>
  <si>
    <t>Capability</t>
  </si>
  <si>
    <t>Capability gap</t>
  </si>
  <si>
    <t>N</t>
  </si>
  <si>
    <t>Post-award monitoring</t>
  </si>
  <si>
    <t>Contract award</t>
  </si>
  <si>
    <t>Tender publication</t>
  </si>
  <si>
    <t>Y</t>
  </si>
  <si>
    <t>Need identification</t>
  </si>
  <si>
    <t>Process stages (mark Y for in-scope)</t>
  </si>
  <si>
    <t>Notebooks</t>
  </si>
  <si>
    <t>Product family (one)</t>
  </si>
  <si>
    <t>Product family and process stages</t>
  </si>
  <si>
    <t>Strategic</t>
  </si>
  <si>
    <t>Signal demand for DPP-ready products</t>
  </si>
  <si>
    <t>Market shaping</t>
  </si>
  <si>
    <t>Operational</t>
  </si>
  <si>
    <t>Capture evidence consistently</t>
  </si>
  <si>
    <t>Auditability requirement</t>
  </si>
  <si>
    <t>Improve repairability scores</t>
  </si>
  <si>
    <t>Repairability ambition</t>
  </si>
  <si>
    <t>Lower lifetime energy footprint</t>
  </si>
  <si>
    <t>Sustainable procurement strategy</t>
  </si>
  <si>
    <t>Regulatory</t>
  </si>
  <si>
    <t>Use DPP attributes lawfully</t>
  </si>
  <si>
    <t>ESPR regulatory alignment</t>
  </si>
  <si>
    <t>Origin</t>
  </si>
  <si>
    <t>Combined</t>
  </si>
  <si>
    <t>Goal weight (1–5)</t>
  </si>
  <si>
    <t>Linked goal</t>
  </si>
  <si>
    <t>Weight (1–5)</t>
  </si>
  <si>
    <t>Driver</t>
  </si>
  <si>
    <t>Drivers and goals</t>
  </si>
  <si>
    <t>Fraunhofer ISST (Dortmund; around 200 staff; €12.25M annual operating budget) procures approximately 117 staff notebooks on a 3-4 year refresh cycle (€200–400K per cycle) through SAP S/4HANA + SAP Ariba run by central Fraunhofer ICT and authenticated via Microsoft Entra ID. As a contracting authority under EU Directive 2014/24/EU, the institute needs a defensible way to use DPP attributes in market exploration and specification for ICT equipment subject to ESPR.</t>
  </si>
  <si>
    <t>Authority-specific problem statement (max 500 chars)</t>
  </si>
  <si>
    <t>Problem statement and motivation</t>
  </si>
  <si>
    <t>R: Sustainability Lead, Procurement Lead; A: Sponsor; C: Enterprise Architect, Legal; I: All.</t>
  </si>
  <si>
    <t>Product family and in-scope stages → P2; capability gap → P3; views V1, V2 → backbone.</t>
  </si>
  <si>
    <t>P0 readiness band; operating-model choice.</t>
  </si>
  <si>
    <t>Confirm motivation; choose product family; identify in-scope process stages; capability gap.</t>
  </si>
  <si>
    <t>P1 – Architecture vision: motivation and scope</t>
  </si>
  <si>
    <t>Approved coverage % of all rows with data</t>
  </si>
  <si>
    <t>No approved mapping with Unit alignment = Mismatch</t>
  </si>
  <si>
    <t>Validity checks</t>
  </si>
  <si>
    <t>Subject to award-criterion risk gate</t>
  </si>
  <si>
    <t>OK</t>
  </si>
  <si>
    <t>percent &gt;= configurable</t>
  </si>
  <si>
    <t>Threshold</t>
  </si>
  <si>
    <t>Award (gated)</t>
  </si>
  <si>
    <t>Award-criterion candidate (gated)</t>
  </si>
  <si>
    <t>Recycled content (overall)</t>
  </si>
  <si>
    <t>Aligned with ESPR scope</t>
  </si>
  <si>
    <t>years &gt;= 7</t>
  </si>
  <si>
    <t>Specification</t>
  </si>
  <si>
    <t>Specification minimum spares lifetime</t>
  </si>
  <si>
    <t>Spare parts availability period</t>
  </si>
  <si>
    <t>Approved</t>
  </si>
  <si>
    <t>Aligned with REACH list</t>
  </si>
  <si>
    <t>must declare absence of list X</t>
  </si>
  <si>
    <t>Direct</t>
  </si>
  <si>
    <t>Exclusion of named substances</t>
  </si>
  <si>
    <t>Hazardous substance presence</t>
  </si>
  <si>
    <t>Methodology variance noted</t>
  </si>
  <si>
    <t>report value, units normalised</t>
  </si>
  <si>
    <t>Derived</t>
  </si>
  <si>
    <t>Comparative metric for evaluation</t>
  </si>
  <si>
    <t>Carbon footprint (PCF)</t>
  </si>
  <si>
    <t>EU energy label classes are explicit</t>
  </si>
  <si>
    <t>class in e.g. A++, A+, A</t>
  </si>
  <si>
    <t>Specification minimum energy class</t>
  </si>
  <si>
    <t>Energy efficiency class</t>
  </si>
  <si>
    <t>Reviewed: scoring methodology referenced</t>
  </si>
  <si>
    <t>score &gt;= 7 on the applicable index</t>
  </si>
  <si>
    <t>Qualification</t>
  </si>
  <si>
    <t>Minimum repairability threshold</t>
  </si>
  <si>
    <t>Repairability score (where in scope)</t>
  </si>
  <si>
    <t>Status</t>
  </si>
  <si>
    <t>Sign-off date</t>
  </si>
  <si>
    <t>Reviewer</t>
  </si>
  <si>
    <t>Legal note</t>
  </si>
  <si>
    <t>Unit alignment</t>
  </si>
  <si>
    <t>Mapping rule</t>
  </si>
  <si>
    <t>Mapping type</t>
  </si>
  <si>
    <t>Procurement-use role</t>
  </si>
  <si>
    <t>Target procurement criterion</t>
  </si>
  <si>
    <t>DPP attribute</t>
  </si>
  <si>
    <t>Semantic mapping worksheet</t>
  </si>
  <si>
    <t>R: Data Steward; A: Sponsor; C: Sustainability Lead, Legal Counsel, EA; I: All.</t>
  </si>
  <si>
    <t>Approved mappings → V4; counts → dashboard indicator.</t>
  </si>
  <si>
    <t>Approved attributes from P2; legal guidance.</t>
  </si>
  <si>
    <t>Map each in-scope DPP attribute to a procurement criterion with mapping type, rule, units, legal note, sign-off.</t>
  </si>
  <si>
    <t>P3 – Semantic mapping</t>
  </si>
  <si>
    <t>All objects meet minimum?</t>
  </si>
  <si>
    <t>Minimum retention (months)</t>
  </si>
  <si>
    <t>Retention check</t>
  </si>
  <si>
    <t>IT Integration</t>
  </si>
  <si>
    <t>Audit trail</t>
  </si>
  <si>
    <t>Audit store</t>
  </si>
  <si>
    <t>Broker / hub</t>
  </si>
  <si>
    <t>Audit log entry</t>
  </si>
  <si>
    <t>Supplier reg.</t>
  </si>
  <si>
    <t>External CA</t>
  </si>
  <si>
    <t>Certification reference</t>
  </si>
  <si>
    <t>Procurement</t>
  </si>
  <si>
    <t>Procurement law</t>
  </si>
  <si>
    <t>Tender record</t>
  </si>
  <si>
    <t>Internal tender file</t>
  </si>
  <si>
    <t>Evidence reference</t>
  </si>
  <si>
    <t>DPP attribute snapshot</t>
  </si>
  <si>
    <t>External DPP service</t>
  </si>
  <si>
    <t>DPP identifier</t>
  </si>
  <si>
    <t>Access control owner</t>
  </si>
  <si>
    <t>Retention basis</t>
  </si>
  <si>
    <t>Retention (months)</t>
  </si>
  <si>
    <t>Store</t>
  </si>
  <si>
    <t>Source</t>
  </si>
  <si>
    <t>Data object</t>
  </si>
  <si>
    <t>Information lifecycle</t>
  </si>
  <si>
    <t>Local; consolidates indicators for institute reporting</t>
  </si>
  <si>
    <t>Strategy</t>
  </si>
  <si>
    <t>File import</t>
  </si>
  <si>
    <t>Consumer</t>
  </si>
  <si>
    <t>Sustainability reporting tool</t>
  </si>
  <si>
    <t>Evidence retention; tender file storage</t>
  </si>
  <si>
    <t>Graph API</t>
  </si>
  <si>
    <t>Tender document store (SharePoint)</t>
  </si>
  <si>
    <t>Deployed on ISST-operated Kubernetes; brokers dataspace queries</t>
  </si>
  <si>
    <t>IT</t>
  </si>
  <si>
    <t>REST + IDS dataspace protocol</t>
  </si>
  <si>
    <t>DPP Connector microservice</t>
  </si>
  <si>
    <t>Authority-wide identity provider; token issuer for all integrations</t>
  </si>
  <si>
    <t>OIDC/SAML</t>
  </si>
  <si>
    <t>Mediator</t>
  </si>
  <si>
    <t>Microsoft Entra ID (IDP)</t>
  </si>
  <si>
    <t>Hosted by central Fraunhofer ICT, ISST consumes shared instance</t>
  </si>
  <si>
    <t>BAPI/OData</t>
  </si>
  <si>
    <t>SAP S/4HANA (ERP &amp; purchase requisition)</t>
  </si>
  <si>
    <t>Hosted by central Fraunhofer ICT</t>
  </si>
  <si>
    <t>REST/OData</t>
  </si>
  <si>
    <t>SAP Ariba (sourcing &amp; contracts)</t>
  </si>
  <si>
    <t>Owner role</t>
  </si>
  <si>
    <t>Integration readiness (1–5)</t>
  </si>
  <si>
    <t>API maturity</t>
  </si>
  <si>
    <t>DPP role</t>
  </si>
  <si>
    <t>Application inventory</t>
  </si>
  <si>
    <t>R: Enterprise Architect, IT Integration Lead; A: Sponsor; C: Procurement Lead; I: All.</t>
  </si>
  <si>
    <t>Inventory and lifecycle</t>
  </si>
  <si>
    <t>Application catalogue from P0; mapping outputs from P3.</t>
  </si>
  <si>
    <t>Inventory procurement-supporting applications and information lifecycle for DPP-related data objects.</t>
  </si>
  <si>
    <t>P3 – Application and information inventory</t>
  </si>
  <si>
    <t>Low-readiness pattern lock</t>
  </si>
  <si>
    <t>Rationale (≥100 chars)</t>
  </si>
  <si>
    <t>Decision</t>
  </si>
  <si>
    <t>Rank</t>
  </si>
  <si>
    <t>Weight sum check</t>
  </si>
  <si>
    <t>Future-proof vs EU portal</t>
  </si>
  <si>
    <t>Time-to-value (inv.)</t>
  </si>
  <si>
    <t>Total cost (inv.)</t>
  </si>
  <si>
    <t>Governance load (inv.)</t>
  </si>
  <si>
    <t>Volume scalability</t>
  </si>
  <si>
    <t>Use-case fit</t>
  </si>
  <si>
    <t>Readiness fit</t>
  </si>
  <si>
    <t>C: Dataspace connector</t>
  </si>
  <si>
    <t>B: Central database</t>
  </si>
  <si>
    <t>A: Manual look-up</t>
  </si>
  <si>
    <t>Pattern scoring matrix 
(1–5; higher = better; cost-like dimensions are inverted, see Sheet 2 for logic)</t>
  </si>
  <si>
    <t>R: Enterprise Architect, IT Integration Lead; A: Sponsor; C: Procurement Lead, Data Steward; I: All.</t>
  </si>
  <si>
    <t>→ dashboard; → P5 roadmap.</t>
  </si>
  <si>
    <t>Readiness (P0); touchpoints (P2); semantic mapping (P3).</t>
  </si>
  <si>
    <t>Score three patterns on 7 dimensions; weighted total; chosen pattern; rationale.</t>
  </si>
  <si>
    <t>P4 – Technology and integration pattern selection</t>
  </si>
  <si>
    <t>Audit log; retention policy</t>
  </si>
  <si>
    <t>Internal audit findings on data lineage</t>
  </si>
  <si>
    <t>R7</t>
  </si>
  <si>
    <t>Re-entry of Phase P4 on announcement</t>
  </si>
  <si>
    <t>EU portal mechanism change</t>
  </si>
  <si>
    <t>R6</t>
  </si>
  <si>
    <t>Mapping v2 consolidation in Plateau 2</t>
  </si>
  <si>
    <t>Semantic drift across product families</t>
  </si>
  <si>
    <t>R5</t>
  </si>
  <si>
    <t>Time-stamped snapshots; cache TTL policy</t>
  </si>
  <si>
    <t>Cache freshness vs. evidence integrity</t>
  </si>
  <si>
    <t>R4</t>
  </si>
  <si>
    <t>Lead time; supplier engagement</t>
  </si>
  <si>
    <t>SME supplier readiness gap</t>
  </si>
  <si>
    <t>R3</t>
  </si>
  <si>
    <t>Versioned connector image; IDSA spec tracking; abstraction layer</t>
  </si>
  <si>
    <t>Dataspace connector maintenance and IDS protocol drift</t>
  </si>
  <si>
    <t>R2</t>
  </si>
  <si>
    <t>Counsel review, threshold documentation</t>
  </si>
  <si>
    <t>Legal contestability of repairability scoring</t>
  </si>
  <si>
    <t>R1</t>
  </si>
  <si>
    <t>RAG</t>
  </si>
  <si>
    <t>Res. score</t>
  </si>
  <si>
    <t>Res. I</t>
  </si>
  <si>
    <t>Res. L</t>
  </si>
  <si>
    <t>Mitigation / safeguard</t>
  </si>
  <si>
    <t>Inh. score</t>
  </si>
  <si>
    <t>Inh. I</t>
  </si>
  <si>
    <t>Inh. L</t>
  </si>
  <si>
    <t>Risk description</t>
  </si>
  <si>
    <t>ID</t>
  </si>
  <si>
    <t>Planned</t>
  </si>
  <si>
    <t>Re-scored selection</t>
  </si>
  <si>
    <t>WP6</t>
  </si>
  <si>
    <t>Pattern re-evaluation</t>
  </si>
  <si>
    <t>WP9</t>
  </si>
  <si>
    <t>Mapping v2</t>
  </si>
  <si>
    <t>WP7</t>
  </si>
  <si>
    <t>Mapping v2 consolidation</t>
  </si>
  <si>
    <t>WP8</t>
  </si>
  <si>
    <t>Scoped package</t>
  </si>
  <si>
    <t>WP5</t>
  </si>
  <si>
    <t>Proc Lead</t>
  </si>
  <si>
    <t>Second product family scoping</t>
  </si>
  <si>
    <t>Indicator set v1</t>
  </si>
  <si>
    <t>Indicator collection v1</t>
  </si>
  <si>
    <t>Tender file</t>
  </si>
  <si>
    <t>WP4</t>
  </si>
  <si>
    <t>First DPP-informed tender</t>
  </si>
  <si>
    <t>Connector v1 on ISST Kubernetes</t>
  </si>
  <si>
    <t>WP3</t>
  </si>
  <si>
    <t>Dataspace connector deployment</t>
  </si>
  <si>
    <t>Mapping sheet v1</t>
  </si>
  <si>
    <t>WP2</t>
  </si>
  <si>
    <t>Semantic mapping v1</t>
  </si>
  <si>
    <t>WP1</t>
  </si>
  <si>
    <t>Sustain Lead</t>
  </si>
  <si>
    <t>Attribute catalogue v1</t>
  </si>
  <si>
    <t>Charter, RACI</t>
  </si>
  <si>
    <t>—</t>
  </si>
  <si>
    <t>Governance setup</t>
  </si>
  <si>
    <t>Deliverable</t>
  </si>
  <si>
    <t>Dependencies</t>
  </si>
  <si>
    <t>Effort (PD)</t>
  </si>
  <si>
    <t>End (M)</t>
  </si>
  <si>
    <t>Start (M)</t>
  </si>
  <si>
    <t>Plateau</t>
  </si>
  <si>
    <t>Name</t>
  </si>
  <si>
    <t>WP ID</t>
  </si>
  <si>
    <t>Work-package register</t>
  </si>
  <si>
    <t>Pattern re-evaluation; second product family; mapping R2</t>
  </si>
  <si>
    <t>M10–M24</t>
  </si>
  <si>
    <t>Scaled integration: additional product families, deeper integration, semantic mapping consolidated.</t>
  </si>
  <si>
    <t>Plateau 2</t>
  </si>
  <si>
    <t>Connector R1; mapping R1; first tender.</t>
  </si>
  <si>
    <t>M0–M9</t>
  </si>
  <si>
    <t>First DPP-enabled use case: single product family, market exploration and specification touchpoints, basic governance.</t>
  </si>
  <si>
    <t>Plateau 1</t>
  </si>
  <si>
    <t>Baseline catalogue, baseline KPI snapshot.</t>
  </si>
  <si>
    <t>M0</t>
  </si>
  <si>
    <t>Current state: fragmented evidence, manual verification, no DPP touchpoints.</t>
  </si>
  <si>
    <t>Plateau 0</t>
  </si>
  <si>
    <t>Key deliverables</t>
  </si>
  <si>
    <t>Months (M)</t>
  </si>
  <si>
    <t>Description</t>
  </si>
  <si>
    <t>Roadmap — three plateaus</t>
  </si>
  <si>
    <t>Risk colour band derived from residual score: &lt;6 Green, 6–14 Yellow/Amber, ≥15 Red.</t>
  </si>
  <si>
    <t>Likelihood and Impact of a risk on a 1–5 scale. Inherent = L × I before safeguard. Residual = same product after safeguard.</t>
  </si>
  <si>
    <t>Lkh / Imp (L / I)</t>
  </si>
  <si>
    <t>A defined unit of delivery with owner, duration, dependencies, and deliverable. IDs increment from WP1.</t>
  </si>
  <si>
    <t>WP (Work package)</t>
  </si>
  <si>
    <t>Effort estimate in person-days. 1 PD = 1 person working one full day. Aggregates across roles unless a roles split is added in a separate column.</t>
  </si>
  <si>
    <t>PD (Person-days)</t>
  </si>
  <si>
    <t>Month from project start. M0 = project start. So 'Start (M)=3' means month 3 from project start; 'End (M)=7' means month 7.</t>
  </si>
  <si>
    <t>M (Month)</t>
  </si>
  <si>
    <t>Column legend</t>
  </si>
  <si>
    <t>R: Project Manager; A: Sponsor; C: All; I: External liaisons.</t>
  </si>
  <si>
    <t>Roadmap, risks → dashboard.</t>
  </si>
  <si>
    <t>Pattern (P4); operating model (P0); attribute set (P3).</t>
  </si>
  <si>
    <t>Plateau-based roadmap; work-package register; risk register with RAG.</t>
  </si>
  <si>
    <t>P5 – Transition, work packages, and risks</t>
  </si>
  <si>
    <t>Sponsor escalates to executive on red residual risks.</t>
  </si>
  <si>
    <t>Escalation</t>
  </si>
  <si>
    <t>Quarterly; ad-hoc on red risks.</t>
  </si>
  <si>
    <t>Interval</t>
  </si>
  <si>
    <t>Steering committee: Sponsor (chair), Procurement Lead, EA, Sustainability Lead, Legal.</t>
  </si>
  <si>
    <t>Body</t>
  </si>
  <si>
    <t>Implementation governance charter</t>
  </si>
  <si>
    <t>Tender records</t>
  </si>
  <si>
    <t>SME participation rate (%)</t>
  </si>
  <si>
    <t>External record</t>
  </si>
  <si>
    <t>Audit findings (count)</t>
  </si>
  <si>
    <t>Legal disputes (count)</t>
  </si>
  <si>
    <t>Sheet 11 status</t>
  </si>
  <si>
    <t>Roadmap adherence (%)</t>
  </si>
  <si>
    <t>Sheet 7</t>
  </si>
  <si>
    <t>Approved attributes (count)</t>
  </si>
  <si>
    <t>Sheet 6 priorities</t>
  </si>
  <si>
    <t>Touchpoints active (count)</t>
  </si>
  <si>
    <t>Sheet 8 sign-offs</t>
  </si>
  <si>
    <t>Last review</t>
  </si>
  <si>
    <t>Current</t>
  </si>
  <si>
    <t>Target</t>
  </si>
  <si>
    <t>Indicator</t>
  </si>
  <si>
    <t>Ex-post adoption indicators</t>
  </si>
  <si>
    <t>R: Project Manager; A: Sponsor; C: External experts; I: All.</t>
  </si>
  <si>
    <t>Expert evaluation report; indicator catalogue → dashboard.</t>
  </si>
  <si>
    <t>All upstream outputs.</t>
  </si>
  <si>
    <t>Define/Evaluate ex-post indicators, capture expert ratings, finalize governance.</t>
  </si>
  <si>
    <t>P6 – Implementation governance and evaluation</t>
  </si>
  <si>
    <t>High (&gt;3.5)</t>
  </si>
  <si>
    <t>Medium (2–3.5)</t>
  </si>
  <si>
    <t>Low (&lt;2)</t>
  </si>
  <si>
    <t>Maturity bands</t>
  </si>
  <si>
    <t>Red (≥15)</t>
  </si>
  <si>
    <t>Yellow (6–14)</t>
  </si>
  <si>
    <t>Green (&lt;6)</t>
  </si>
  <si>
    <t>RAG bands</t>
  </si>
  <si>
    <t>ICT services</t>
  </si>
  <si>
    <t>Lighting</t>
  </si>
  <si>
    <t>Building materials</t>
  </si>
  <si>
    <t>Vehicles</t>
  </si>
  <si>
    <t>Workwear</t>
  </si>
  <si>
    <t>Office furniture</t>
  </si>
  <si>
    <t>Notebooks (Laptops)</t>
  </si>
  <si>
    <t>Product families (examples)</t>
  </si>
  <si>
    <t>2b Dataspace connector</t>
  </si>
  <si>
    <t>2a Central database</t>
  </si>
  <si>
    <t>1 Manual look-up</t>
  </si>
  <si>
    <t>Patterns</t>
  </si>
  <si>
    <t>Roles</t>
  </si>
  <si>
    <t>Blocked</t>
  </si>
  <si>
    <t>Done</t>
  </si>
  <si>
    <t>In progress</t>
  </si>
  <si>
    <t>Signed off</t>
  </si>
  <si>
    <t>Rejected</t>
  </si>
  <si>
    <t>In review</t>
  </si>
  <si>
    <t>Status (mapping &amp; WP)</t>
  </si>
  <si>
    <t>Qualitative</t>
  </si>
  <si>
    <t>Composite</t>
  </si>
  <si>
    <t>Mapping types</t>
  </si>
  <si>
    <t>Monitoring</t>
  </si>
  <si>
    <t>Contract clause</t>
  </si>
  <si>
    <t>Award</t>
  </si>
  <si>
    <t>Exclusion</t>
  </si>
  <si>
    <t>Procurement-use roles</t>
  </si>
  <si>
    <t>Reference data (drop-down lookup sources)</t>
  </si>
  <si>
    <t>Override rationale (≥200 chars)</t>
  </si>
  <si>
    <t>Gate flag</t>
  </si>
  <si>
    <t>Readiness &lt; 3.0?</t>
  </si>
  <si>
    <t>Award marked at least medium anywhere?</t>
  </si>
  <si>
    <t>Award-criterion risk gate</t>
  </si>
  <si>
    <t>Stage priority</t>
  </si>
  <si>
    <t>Process stage</t>
  </si>
  <si>
    <t>Touchpoint matrix (priority codes: 0 not used, 1 low, 2 medium, 3 high)</t>
  </si>
  <si>
    <t>R: Procurement Lead; A: Sponsor; C: Legal Counsel, Sustainability Lead; I: All.</t>
  </si>
  <si>
    <t>Touchpoints → R1 (BPMN); priorities → P3 mapping focus.</t>
  </si>
  <si>
    <t>P1 in-scope process stages.</t>
  </si>
  <si>
    <t>Identify procurement process stages × procurement-use roles where DPP data enters; mark priorities.</t>
  </si>
  <si>
    <t>P2 – Process touchpoints and use-case selection</t>
  </si>
  <si>
    <t>Mean combined score</t>
  </si>
  <si>
    <t># attributes for exploration only</t>
  </si>
  <si>
    <t># attributes for verification</t>
  </si>
  <si>
    <t># attributes as criterion</t>
  </si>
  <si>
    <t>Summary</t>
  </si>
  <si>
    <t>End-of-life take-back declaration</t>
  </si>
  <si>
    <t>Conflict Minerals Regulation (EU) 2017/821</t>
  </si>
  <si>
    <t>Conflict-mineral disclosure</t>
  </si>
  <si>
    <t>EU Batteries Regulation (EU) 2023/1542</t>
  </si>
  <si>
    <t>Battery cycle life (where applicable)</t>
  </si>
  <si>
    <t>ISO 14067; PEF (Product Environmental Footprint) method by EC JRC.</t>
  </si>
  <si>
    <t>Existing ecodesign implementing acts (e.g., (EU) 2019/2021 for displays) and EU Ecolabel computer criteria.</t>
  </si>
  <si>
    <t>REACH Regulation (EC) 1907/2006; ECHA SCIP database</t>
  </si>
  <si>
    <t>ESPR Annex I; EU Ecolabel computer criteria 2020/1804 (recycled plastic %).</t>
  </si>
  <si>
    <t xml:space="preserve">ESPR </t>
  </si>
  <si>
    <t>Reliability — guaranteed lifespan</t>
  </si>
  <si>
    <t>EU Energy Labelling Framework Regulation (EU) 2017/1369 and product-specific implementing acts</t>
  </si>
  <si>
    <t>Source / regulatory or standard origin</t>
  </si>
  <si>
    <t>Attribute</t>
  </si>
  <si>
    <t>Attribute referemce – source of each candidate attribute and scale</t>
  </si>
  <si>
    <t>Supplier's declared route for end-of-life return, reuse, or recycling, including extended producer responsibility scheme membership.</t>
  </si>
  <si>
    <t>Yes / No with route</t>
  </si>
  <si>
    <t>Statement on due diligence relating to tin, tantalum, tungsten, and gold from conflict-affected regions.</t>
  </si>
  <si>
    <t>Declaration: present / not present</t>
  </si>
  <si>
    <t>Cycle life characterising the battery's durability. Applies to products with rechargeable batteries.</t>
  </si>
  <si>
    <t>Number of cycles to 80% capacity</t>
  </si>
  <si>
    <t>Product Carbon Footprint per declared functional unit. Methodology must be stated.</t>
  </si>
  <si>
    <t>kg CO2e (cradle-to-gate or full lifecycle, defined by method)</t>
  </si>
  <si>
    <t>Number of years for which the manufacturer commits to making spare parts available after a product is placed on the market.</t>
  </si>
  <si>
    <t>Years post-placement</t>
  </si>
  <si>
    <t>Presence of substances of concern (e.g., SCIP database entries, REACH SVHC list).</t>
  </si>
  <si>
    <t>Declaration: Yes / No per substance</t>
  </si>
  <si>
    <t>Percentage of post-consumer recycled material in the product. Subject to definition by product group.</t>
  </si>
  <si>
    <t>% by mass</t>
  </si>
  <si>
    <t>Minimum operating lifespan declared and guaranteed by the manufacturer for the product as placed on the market.</t>
  </si>
  <si>
    <t>Months / years</t>
  </si>
  <si>
    <t>Aggregate repairability across documentation, ease of disassembly, spare-parts availability, and price of spares. 0 = poorly repairable, 10 = highly repairable. Defined for smartphones/laptops in some Member State regimes; EU-level work is under way under ESPR.</t>
  </si>
  <si>
    <t>Index 0–10 (where adopted)</t>
  </si>
  <si>
    <t>Indicates labelled energy class against the relevant EU energy label regulation. A=best, G=worst.</t>
  </si>
  <si>
    <t>EU Energy Label (A to G)</t>
  </si>
  <si>
    <t>Recommendation</t>
  </si>
  <si>
    <t>wV</t>
  </si>
  <si>
    <t>wE</t>
  </si>
  <si>
    <t>wR</t>
  </si>
  <si>
    <t>V (1–5)</t>
  </si>
  <si>
    <t>E (1–5)</t>
  </si>
  <si>
    <t>R (1–5)</t>
  </si>
  <si>
    <t>What the score tells you</t>
  </si>
  <si>
    <t>Scale / unit</t>
  </si>
  <si>
    <t>Important: the candidate attributes below are illustrative for notebooks/ICT and are derived from existing EU work and certification schemes. They are NOT the final ESPR delegated-act list, which is product-group-specific and is being adopted gradually. Sources are listed per row. Authorities must validate the catalogue against the applicable delegated act when one is in force.</t>
  </si>
  <si>
    <t>R: Sustainability Lead, Data Steward; A: Sponsor; C: Enterprise Architect, Legal Counsel; I: All.</t>
  </si>
  <si>
    <t>Approved attributes → P3 mapping; combined scores → P4 pre-fill.</t>
  </si>
  <si>
    <t>Product family from P1; candidate attribute catalogue (illustrative — see notes below for sources).</t>
  </si>
  <si>
    <t>Score candidate DPP attributes for the in-scope product family. Each attribute carries its scale meaning and provenance (where the attribute and scale come from).</t>
  </si>
  <si>
    <t>P2 – Attribute relevance and evidence</t>
  </si>
  <si>
    <t>The following statement relies on availability of the chosen infrastructure. Fraunhofer ISST scores Pattern C highest: 117 notebook users on a 3 to4 year refresh (€200–400K/cycle) running on SAP S/4HANA + SAP Ariba via central Fraunhofer ICT and Microsoft Entra ID, combined with in-house dataspace expertise and existing Kubernetes capability. Pattern A is retained as a contingency. It depends on whether the market/regulatory body has made the infrastructure available..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</si>
</sst>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30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8"/>
      <color rgb="FFFFFFFF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2"/>
      <color rgb="FF1D3D7B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rgb="FF008000"/>
      <name val="Arial"/>
      <family val="2"/>
      <charset val="1"/>
    </font>
    <font>
      <sz val="11"/>
      <color rgb="FF008000"/>
      <name val="Arial"/>
      <family val="2"/>
      <charset val="1"/>
    </font>
    <font>
      <b/>
      <sz val="12"/>
      <color rgb="FF00000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1D3D7B"/>
      <name val="Arial"/>
      <family val="2"/>
      <charset val="1"/>
    </font>
    <font>
      <b/>
      <sz val="11"/>
      <color rgb="FF000000"/>
      <name val="Arial"/>
      <family val="2"/>
    </font>
    <font>
      <b/>
      <sz val="16"/>
      <color rgb="FFFFFFFF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FF"/>
      <name val="Arial"/>
      <family val="2"/>
      <charset val="1"/>
    </font>
    <font>
      <sz val="10"/>
      <color rgb="FF0000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1"/>
      <color rgb="FF0000FF"/>
      <name val="Arial"/>
      <family val="2"/>
      <charset val="1"/>
    </font>
    <font>
      <i/>
      <sz val="10"/>
      <color rgb="FFFF0000"/>
      <name val="Arial"/>
      <family val="2"/>
      <charset val="1"/>
    </font>
    <font>
      <b/>
      <sz val="11"/>
      <color theme="1"/>
      <name val="Calibri"/>
      <family val="2"/>
    </font>
    <font>
      <b/>
      <sz val="13"/>
      <color rgb="FF1D3D7B"/>
      <name val="Arial"/>
      <family val="2"/>
      <charset val="1"/>
    </font>
    <font>
      <b/>
      <sz val="18"/>
      <color rgb="FF000000"/>
      <name val="Arial"/>
      <family val="2"/>
      <charset val="1"/>
    </font>
    <font>
      <b/>
      <sz val="22"/>
      <color rgb="FF000000"/>
      <name val="Arial"/>
      <family val="2"/>
      <charset val="1"/>
    </font>
    <font>
      <sz val="10"/>
      <color rgb="FF000000"/>
      <name val="Arial"/>
      <family val="2"/>
    </font>
    <font>
      <b/>
      <sz val="14"/>
      <color rgb="FF000000"/>
      <name val="Arial"/>
      <family val="2"/>
      <charset val="1"/>
    </font>
    <font>
      <b/>
      <sz val="16"/>
      <color rgb="FF000000"/>
      <name val="Arial"/>
      <family val="2"/>
      <charset val="1"/>
    </font>
    <font>
      <b/>
      <sz val="11"/>
      <color rgb="FF333333"/>
      <name val="Arial"/>
      <family val="2"/>
    </font>
    <font>
      <sz val="10"/>
      <name val="Arial"/>
      <family val="2"/>
    </font>
    <font>
      <b/>
      <sz val="14"/>
      <color rgb="FFFFFFFF"/>
      <name val="Arial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D3D7B"/>
        <bgColor rgb="FF003366"/>
      </patternFill>
    </fill>
    <fill>
      <patternFill patternType="solid">
        <fgColor rgb="FFD9E2F3"/>
        <bgColor rgb="FFDCE9F4"/>
      </patternFill>
    </fill>
    <fill>
      <patternFill patternType="solid">
        <fgColor rgb="FFF7F7F7"/>
        <bgColor rgb="FFF9F9F9"/>
      </patternFill>
    </fill>
    <fill>
      <patternFill patternType="solid">
        <fgColor rgb="FFE7E7E7"/>
        <bgColor rgb="FFDCE9F4"/>
      </patternFill>
    </fill>
    <fill>
      <patternFill patternType="solid">
        <fgColor rgb="FFFFFFFF"/>
        <bgColor rgb="FFF9F9F9"/>
      </patternFill>
    </fill>
    <fill>
      <patternFill patternType="solid">
        <fgColor rgb="FFFCE5C9"/>
        <bgColor rgb="FFFAD8B3"/>
      </patternFill>
    </fill>
    <fill>
      <patternFill patternType="solid">
        <fgColor rgb="FFE4D5F2"/>
        <bgColor rgb="FFD9D9D9"/>
      </patternFill>
    </fill>
    <fill>
      <patternFill patternType="solid">
        <fgColor rgb="FFD6EAE3"/>
        <bgColor rgb="FFDAEAD3"/>
      </patternFill>
    </fill>
    <fill>
      <patternFill patternType="solid">
        <fgColor rgb="FFE2F0D9"/>
        <bgColor rgb="FFE2EFDA"/>
      </patternFill>
    </fill>
    <fill>
      <patternFill patternType="solid">
        <fgColor rgb="FFDCE9F4"/>
        <bgColor rgb="FFD9E2F3"/>
      </patternFill>
    </fill>
    <fill>
      <patternFill patternType="solid">
        <fgColor rgb="FFDAEAD3"/>
        <bgColor rgb="FFD6EAE3"/>
      </patternFill>
    </fill>
    <fill>
      <patternFill patternType="solid">
        <fgColor rgb="FFC6EFCE"/>
        <bgColor rgb="FFDAEAD3"/>
      </patternFill>
    </fill>
    <fill>
      <patternFill patternType="solid">
        <fgColor rgb="FFFAD8B3"/>
        <bgColor rgb="FFFCE5C9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B5B5B5"/>
      </left>
      <right style="thin">
        <color rgb="FFB5B5B5"/>
      </right>
      <top style="medium">
        <color indexed="64"/>
      </top>
      <bottom style="thin">
        <color rgb="FFB5B5B5"/>
      </bottom>
      <diagonal/>
    </border>
    <border>
      <left style="thin">
        <color rgb="FFB5B5B5"/>
      </left>
      <right style="medium">
        <color indexed="64"/>
      </right>
      <top style="medium">
        <color indexed="64"/>
      </top>
      <bottom style="thin">
        <color rgb="FFB5B5B5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B5B5B5"/>
      </left>
      <right style="thin">
        <color rgb="FFB5B5B5"/>
      </right>
      <top style="thin">
        <color rgb="FFB5B5B5"/>
      </top>
      <bottom style="medium">
        <color indexed="64"/>
      </bottom>
      <diagonal/>
    </border>
    <border>
      <left style="thin">
        <color rgb="FFB5B5B5"/>
      </left>
      <right style="medium">
        <color indexed="64"/>
      </right>
      <top style="thin">
        <color rgb="FFB5B5B5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B5B5B5"/>
      </right>
      <top style="thin">
        <color rgb="FFB5B5B5"/>
      </top>
      <bottom style="thin">
        <color rgb="FFB5B5B5"/>
      </bottom>
      <diagonal/>
    </border>
    <border>
      <left style="thin">
        <color rgb="FFB5B5B5"/>
      </left>
      <right style="thin">
        <color rgb="FFB5B5B5"/>
      </right>
      <top style="thin">
        <color rgb="FFB5B5B5"/>
      </top>
      <bottom style="thin">
        <color rgb="FFB5B5B5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B5B5B5"/>
      </right>
      <top style="thin">
        <color rgb="FFB5B5B5"/>
      </top>
      <bottom style="medium">
        <color indexed="64"/>
      </bottom>
      <diagonal/>
    </border>
    <border>
      <left style="thin">
        <color rgb="FFB5B5B5"/>
      </left>
      <right/>
      <top style="thin">
        <color rgb="FFB5B5B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B5B5B5"/>
      </left>
      <right style="medium">
        <color indexed="64"/>
      </right>
      <top style="thin">
        <color rgb="FFB5B5B5"/>
      </top>
      <bottom style="thin">
        <color rgb="FFB5B5B5"/>
      </bottom>
      <diagonal/>
    </border>
    <border>
      <left/>
      <right style="thin">
        <color rgb="FFB5B5B5"/>
      </right>
      <top/>
      <bottom style="thin">
        <color rgb="FFB5B5B5"/>
      </bottom>
      <diagonal/>
    </border>
    <border>
      <left style="thin">
        <color rgb="FFB5B5B5"/>
      </left>
      <right style="thin">
        <color rgb="FFB5B5B5"/>
      </right>
      <top/>
      <bottom style="thin">
        <color rgb="FFB5B5B5"/>
      </bottom>
      <diagonal/>
    </border>
    <border>
      <left style="thin">
        <color rgb="FFB5B5B5"/>
      </left>
      <right/>
      <top/>
      <bottom style="thin">
        <color rgb="FFB5B5B5"/>
      </bottom>
      <diagonal/>
    </border>
    <border>
      <left/>
      <right style="thin">
        <color rgb="FFB5B5B5"/>
      </right>
      <top style="thin">
        <color rgb="FFB5B5B5"/>
      </top>
      <bottom style="thin">
        <color rgb="FFB5B5B5"/>
      </bottom>
      <diagonal/>
    </border>
    <border>
      <left style="thin">
        <color rgb="FFB5B5B5"/>
      </left>
      <right/>
      <top style="thin">
        <color rgb="FFB5B5B5"/>
      </top>
      <bottom style="thin">
        <color rgb="FFB5B5B5"/>
      </bottom>
      <diagonal/>
    </border>
    <border>
      <left/>
      <right style="thin">
        <color rgb="FFB5B5B5"/>
      </right>
      <top style="thin">
        <color rgb="FFB5B5B5"/>
      </top>
      <bottom/>
      <diagonal/>
    </border>
    <border>
      <left style="thin">
        <color rgb="FFB5B5B5"/>
      </left>
      <right style="thin">
        <color rgb="FFB5B5B5"/>
      </right>
      <top style="thin">
        <color rgb="FFB5B5B5"/>
      </top>
      <bottom/>
      <diagonal/>
    </border>
    <border>
      <left style="thin">
        <color rgb="FFB5B5B5"/>
      </left>
      <right/>
      <top style="thin">
        <color rgb="FFB5B5B5"/>
      </top>
      <bottom/>
      <diagonal/>
    </border>
    <border>
      <left style="medium">
        <color indexed="64"/>
      </left>
      <right style="thin">
        <color rgb="FFB5B5B5"/>
      </right>
      <top style="medium">
        <color indexed="64"/>
      </top>
      <bottom style="thin">
        <color rgb="FFB5B5B5"/>
      </bottom>
      <diagonal/>
    </border>
    <border>
      <left style="medium">
        <color indexed="64"/>
      </left>
      <right/>
      <top style="thin">
        <color rgb="FFB5B5B5"/>
      </top>
      <bottom style="medium">
        <color indexed="64"/>
      </bottom>
      <diagonal/>
    </border>
    <border>
      <left style="medium">
        <color indexed="64"/>
      </left>
      <right/>
      <top style="thin">
        <color rgb="FFB5B5B5"/>
      </top>
      <bottom style="thin">
        <color rgb="FFB5B5B5"/>
      </bottom>
      <diagonal/>
    </border>
    <border>
      <left style="thin">
        <color rgb="FFB5B5B5"/>
      </left>
      <right/>
      <top style="medium">
        <color indexed="64"/>
      </top>
      <bottom/>
      <diagonal/>
    </border>
    <border>
      <left/>
      <right style="thin">
        <color rgb="FFB5B5B5"/>
      </right>
      <top style="thin">
        <color rgb="FFB5B5B5"/>
      </top>
      <bottom style="medium">
        <color indexed="64"/>
      </bottom>
      <diagonal/>
    </border>
    <border>
      <left/>
      <right/>
      <top style="thin">
        <color rgb="FFB5B5B5"/>
      </top>
      <bottom style="medium">
        <color indexed="64"/>
      </bottom>
      <diagonal/>
    </border>
    <border>
      <left/>
      <right/>
      <top style="thin">
        <color rgb="FFB5B5B5"/>
      </top>
      <bottom style="thin">
        <color rgb="FFB5B5B5"/>
      </bottom>
      <diagonal/>
    </border>
  </borders>
  <cellStyleXfs count="2">
    <xf numFmtId="0" fontId="0" fillId="0" borderId="0"/>
    <xf numFmtId="0" fontId="1" fillId="0" borderId="0"/>
  </cellStyleXfs>
  <cellXfs count="186">
    <xf numFmtId="0" fontId="0" fillId="0" borderId="0" xfId="0"/>
    <xf numFmtId="0" fontId="2" fillId="2" borderId="0" xfId="1" applyFont="1" applyFill="1" applyAlignment="1">
      <alignment horizontal="left" vertical="center"/>
    </xf>
    <xf numFmtId="0" fontId="1" fillId="0" borderId="0" xfId="1"/>
    <xf numFmtId="0" fontId="4" fillId="0" borderId="1" xfId="1" applyFont="1" applyBorder="1"/>
    <xf numFmtId="0" fontId="5" fillId="3" borderId="2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1" fillId="0" borderId="4" xfId="1" applyBorder="1"/>
    <xf numFmtId="0" fontId="6" fillId="4" borderId="5" xfId="1" applyFont="1" applyFill="1" applyBorder="1" applyAlignment="1">
      <alignment horizontal="center" vertical="center" wrapText="1"/>
    </xf>
    <xf numFmtId="0" fontId="6" fillId="4" borderId="6" xfId="1" applyFont="1" applyFill="1" applyBorder="1" applyAlignment="1">
      <alignment horizontal="center" vertical="center" wrapText="1"/>
    </xf>
    <xf numFmtId="0" fontId="5" fillId="5" borderId="9" xfId="1" applyFont="1" applyFill="1" applyBorder="1" applyAlignment="1">
      <alignment horizontal="left" vertical="center" wrapText="1"/>
    </xf>
    <xf numFmtId="2" fontId="7" fillId="0" borderId="10" xfId="1" applyNumberFormat="1" applyFont="1" applyBorder="1" applyAlignment="1">
      <alignment horizontal="center" vertical="center" wrapText="1"/>
    </xf>
    <xf numFmtId="0" fontId="1" fillId="0" borderId="11" xfId="1" applyBorder="1"/>
    <xf numFmtId="0" fontId="5" fillId="3" borderId="12" xfId="1" applyFont="1" applyFill="1" applyBorder="1"/>
    <xf numFmtId="2" fontId="5" fillId="6" borderId="5" xfId="1" applyNumberFormat="1" applyFont="1" applyFill="1" applyBorder="1" applyAlignment="1">
      <alignment horizontal="center" vertical="center" wrapText="1"/>
    </xf>
    <xf numFmtId="0" fontId="5" fillId="3" borderId="13" xfId="1" applyFont="1" applyFill="1" applyBorder="1"/>
    <xf numFmtId="0" fontId="5" fillId="7" borderId="9" xfId="1" applyFont="1" applyFill="1" applyBorder="1" applyAlignment="1">
      <alignment horizontal="left" vertical="center" wrapText="1"/>
    </xf>
    <xf numFmtId="0" fontId="7" fillId="0" borderId="10" xfId="1" applyFont="1" applyBorder="1" applyAlignment="1">
      <alignment horizontal="center" vertical="center" wrapText="1"/>
    </xf>
    <xf numFmtId="0" fontId="5" fillId="7" borderId="12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1" fontId="9" fillId="6" borderId="10" xfId="1" applyNumberFormat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left" vertical="center" wrapText="1"/>
    </xf>
    <xf numFmtId="1" fontId="9" fillId="6" borderId="5" xfId="1" applyNumberFormat="1" applyFont="1" applyFill="1" applyBorder="1" applyAlignment="1">
      <alignment horizontal="center" vertical="center" wrapText="1"/>
    </xf>
    <xf numFmtId="0" fontId="1" fillId="0" borderId="17" xfId="1" applyBorder="1"/>
    <xf numFmtId="0" fontId="1" fillId="0" borderId="18" xfId="1" applyBorder="1"/>
    <xf numFmtId="0" fontId="10" fillId="0" borderId="1" xfId="1" applyFont="1" applyBorder="1"/>
    <xf numFmtId="0" fontId="1" fillId="0" borderId="7" xfId="1" applyBorder="1"/>
    <xf numFmtId="0" fontId="1" fillId="0" borderId="8" xfId="1" applyBorder="1"/>
    <xf numFmtId="0" fontId="9" fillId="0" borderId="9" xfId="1" applyFont="1" applyBorder="1" applyAlignment="1">
      <alignment horizontal="left" vertical="top" wrapText="1"/>
    </xf>
    <xf numFmtId="0" fontId="9" fillId="0" borderId="10" xfId="1" applyFont="1" applyBorder="1" applyAlignment="1">
      <alignment horizontal="left" vertical="top" wrapText="1"/>
    </xf>
    <xf numFmtId="0" fontId="9" fillId="0" borderId="12" xfId="1" applyFont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3" fillId="5" borderId="10" xfId="1" applyFont="1" applyFill="1" applyBorder="1" applyAlignment="1">
      <alignment horizontal="left" vertical="center" wrapText="1"/>
    </xf>
    <xf numFmtId="0" fontId="13" fillId="10" borderId="10" xfId="1" applyFont="1" applyFill="1" applyBorder="1" applyAlignment="1">
      <alignment horizontal="left" vertical="center" wrapText="1"/>
    </xf>
    <xf numFmtId="0" fontId="15" fillId="6" borderId="10" xfId="1" applyFont="1" applyFill="1" applyBorder="1" applyAlignment="1">
      <alignment horizontal="center" vertical="center" wrapText="1"/>
    </xf>
    <xf numFmtId="0" fontId="16" fillId="0" borderId="10" xfId="1" applyFont="1" applyBorder="1" applyAlignment="1">
      <alignment horizontal="center" vertical="center" wrapText="1"/>
    </xf>
    <xf numFmtId="0" fontId="5" fillId="3" borderId="20" xfId="1" applyFont="1" applyFill="1" applyBorder="1" applyAlignment="1">
      <alignment horizontal="left" vertical="center" wrapText="1"/>
    </xf>
    <xf numFmtId="0" fontId="5" fillId="3" borderId="21" xfId="1" applyFont="1" applyFill="1" applyBorder="1" applyAlignment="1">
      <alignment horizontal="left" vertical="center" wrapText="1"/>
    </xf>
    <xf numFmtId="0" fontId="5" fillId="3" borderId="22" xfId="1" applyFont="1" applyFill="1" applyBorder="1" applyAlignment="1">
      <alignment horizontal="left" vertical="center" wrapText="1"/>
    </xf>
    <xf numFmtId="0" fontId="13" fillId="0" borderId="23" xfId="1" applyFont="1" applyBorder="1" applyAlignment="1">
      <alignment horizontal="left" vertical="top" wrapText="1"/>
    </xf>
    <xf numFmtId="0" fontId="18" fillId="6" borderId="10" xfId="1" applyFont="1" applyFill="1" applyBorder="1" applyAlignment="1">
      <alignment horizontal="center" vertical="center" wrapText="1"/>
    </xf>
    <xf numFmtId="1" fontId="9" fillId="6" borderId="24" xfId="1" applyNumberFormat="1" applyFont="1" applyFill="1" applyBorder="1" applyAlignment="1">
      <alignment horizontal="center" vertical="center" wrapText="1"/>
    </xf>
    <xf numFmtId="0" fontId="13" fillId="0" borderId="25" xfId="1" applyFont="1" applyBorder="1" applyAlignment="1">
      <alignment horizontal="left" vertical="top" wrapText="1"/>
    </xf>
    <xf numFmtId="0" fontId="9" fillId="0" borderId="26" xfId="1" applyFont="1" applyBorder="1" applyAlignment="1">
      <alignment horizontal="left" vertical="top" wrapText="1"/>
    </xf>
    <xf numFmtId="0" fontId="18" fillId="6" borderId="26" xfId="1" applyFont="1" applyFill="1" applyBorder="1" applyAlignment="1">
      <alignment horizontal="center" vertical="center" wrapText="1"/>
    </xf>
    <xf numFmtId="1" fontId="9" fillId="6" borderId="27" xfId="1" applyNumberFormat="1" applyFont="1" applyFill="1" applyBorder="1" applyAlignment="1">
      <alignment horizontal="center" vertical="center" wrapText="1"/>
    </xf>
    <xf numFmtId="0" fontId="14" fillId="0" borderId="23" xfId="1" applyFont="1" applyBorder="1" applyAlignment="1">
      <alignment horizontal="left" vertical="top" wrapText="1"/>
    </xf>
    <xf numFmtId="0" fontId="9" fillId="0" borderId="10" xfId="1" applyFont="1" applyBorder="1" applyAlignment="1">
      <alignment horizontal="center" vertical="center" wrapText="1"/>
    </xf>
    <xf numFmtId="0" fontId="14" fillId="6" borderId="10" xfId="1" applyFont="1" applyFill="1" applyBorder="1" applyAlignment="1">
      <alignment horizontal="center" vertical="center" wrapText="1"/>
    </xf>
    <xf numFmtId="0" fontId="13" fillId="6" borderId="10" xfId="1" applyFont="1" applyFill="1" applyBorder="1" applyAlignment="1">
      <alignment horizontal="center" vertical="center" wrapText="1"/>
    </xf>
    <xf numFmtId="0" fontId="14" fillId="6" borderId="24" xfId="1" applyFont="1" applyFill="1" applyBorder="1" applyAlignment="1">
      <alignment horizontal="center" vertical="center" wrapText="1"/>
    </xf>
    <xf numFmtId="0" fontId="14" fillId="0" borderId="25" xfId="1" applyFont="1" applyBorder="1" applyAlignment="1">
      <alignment horizontal="left" vertical="top" wrapText="1"/>
    </xf>
    <xf numFmtId="0" fontId="9" fillId="0" borderId="26" xfId="1" applyFont="1" applyBorder="1" applyAlignment="1">
      <alignment horizontal="center" vertical="center" wrapText="1"/>
    </xf>
    <xf numFmtId="0" fontId="13" fillId="6" borderId="26" xfId="1" applyFont="1" applyFill="1" applyBorder="1" applyAlignment="1">
      <alignment horizontal="center" vertical="center" wrapText="1"/>
    </xf>
    <xf numFmtId="0" fontId="14" fillId="6" borderId="26" xfId="1" applyFont="1" applyFill="1" applyBorder="1" applyAlignment="1">
      <alignment horizontal="center" vertical="center" wrapText="1"/>
    </xf>
    <xf numFmtId="0" fontId="14" fillId="6" borderId="27" xfId="1" applyFont="1" applyFill="1" applyBorder="1" applyAlignment="1">
      <alignment horizontal="center" vertical="center" wrapText="1"/>
    </xf>
    <xf numFmtId="0" fontId="5" fillId="3" borderId="10" xfId="1" applyFont="1" applyFill="1" applyBorder="1" applyAlignment="1">
      <alignment horizontal="left" vertical="center" wrapText="1"/>
    </xf>
    <xf numFmtId="0" fontId="5" fillId="6" borderId="10" xfId="1" applyFont="1" applyFill="1" applyBorder="1" applyAlignment="1">
      <alignment horizontal="center" vertical="center" wrapText="1"/>
    </xf>
    <xf numFmtId="0" fontId="9" fillId="6" borderId="10" xfId="1" applyFont="1" applyFill="1" applyBorder="1" applyAlignment="1">
      <alignment horizontal="center" vertical="center" wrapText="1"/>
    </xf>
    <xf numFmtId="0" fontId="13" fillId="0" borderId="12" xfId="1" applyFont="1" applyBorder="1" applyAlignment="1">
      <alignment horizontal="left" vertical="top" wrapText="1"/>
    </xf>
    <xf numFmtId="0" fontId="14" fillId="0" borderId="10" xfId="1" applyFont="1" applyBorder="1" applyAlignment="1">
      <alignment horizontal="left" vertical="top" wrapText="1"/>
    </xf>
    <xf numFmtId="0" fontId="13" fillId="0" borderId="9" xfId="1" applyFont="1" applyBorder="1" applyAlignment="1">
      <alignment horizontal="left" vertical="top" wrapText="1"/>
    </xf>
    <xf numFmtId="0" fontId="20" fillId="0" borderId="0" xfId="1" applyFont="1" applyAlignment="1">
      <alignment vertical="top"/>
    </xf>
    <xf numFmtId="0" fontId="21" fillId="0" borderId="0" xfId="1" applyFont="1"/>
    <xf numFmtId="0" fontId="4" fillId="0" borderId="0" xfId="1" applyFont="1"/>
    <xf numFmtId="0" fontId="9" fillId="0" borderId="6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left" vertical="top" wrapText="1"/>
    </xf>
    <xf numFmtId="0" fontId="9" fillId="0" borderId="19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left" vertical="top" wrapText="1"/>
    </xf>
    <xf numFmtId="0" fontId="5" fillId="3" borderId="3" xfId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28" xfId="1" applyFont="1" applyFill="1" applyBorder="1" applyAlignment="1">
      <alignment horizontal="left" vertical="center" wrapText="1"/>
    </xf>
    <xf numFmtId="0" fontId="22" fillId="6" borderId="10" xfId="1" applyFont="1" applyFill="1" applyBorder="1" applyAlignment="1">
      <alignment horizontal="center" vertical="center" wrapText="1"/>
    </xf>
    <xf numFmtId="2" fontId="23" fillId="6" borderId="10" xfId="1" applyNumberFormat="1" applyFont="1" applyFill="1" applyBorder="1" applyAlignment="1">
      <alignment horizontal="center" vertical="center" wrapText="1"/>
    </xf>
    <xf numFmtId="2" fontId="5" fillId="6" borderId="10" xfId="1" applyNumberFormat="1" applyFont="1" applyFill="1" applyBorder="1" applyAlignment="1">
      <alignment horizontal="center" vertical="center" wrapText="1"/>
    </xf>
    <xf numFmtId="2" fontId="9" fillId="6" borderId="10" xfId="1" applyNumberFormat="1" applyFont="1" applyFill="1" applyBorder="1" applyAlignment="1">
      <alignment horizontal="center" vertical="center" wrapText="1"/>
    </xf>
    <xf numFmtId="0" fontId="18" fillId="6" borderId="10" xfId="1" applyFont="1" applyFill="1" applyBorder="1" applyAlignment="1">
      <alignment horizontal="left" vertical="center" wrapText="1"/>
    </xf>
    <xf numFmtId="0" fontId="14" fillId="0" borderId="10" xfId="1" applyFont="1" applyBorder="1" applyAlignment="1">
      <alignment horizontal="left" vertical="center" wrapText="1"/>
    </xf>
    <xf numFmtId="0" fontId="13" fillId="0" borderId="10" xfId="1" applyFont="1" applyBorder="1" applyAlignment="1">
      <alignment horizontal="left" vertical="center" wrapText="1"/>
    </xf>
    <xf numFmtId="0" fontId="13" fillId="11" borderId="10" xfId="1" applyFont="1" applyFill="1" applyBorder="1" applyAlignment="1">
      <alignment horizontal="left" vertical="center" wrapText="1"/>
    </xf>
    <xf numFmtId="164" fontId="9" fillId="6" borderId="10" xfId="1" applyNumberFormat="1" applyFont="1" applyFill="1" applyBorder="1" applyAlignment="1">
      <alignment horizontal="center" vertical="center" wrapText="1"/>
    </xf>
    <xf numFmtId="0" fontId="13" fillId="12" borderId="10" xfId="1" applyFont="1" applyFill="1" applyBorder="1" applyAlignment="1">
      <alignment horizontal="left" vertical="center" wrapText="1"/>
    </xf>
    <xf numFmtId="0" fontId="9" fillId="6" borderId="24" xfId="1" applyFont="1" applyFill="1" applyBorder="1" applyAlignment="1">
      <alignment horizontal="left" vertical="center" wrapText="1"/>
    </xf>
    <xf numFmtId="0" fontId="5" fillId="3" borderId="30" xfId="1" applyFont="1" applyFill="1" applyBorder="1" applyAlignment="1">
      <alignment horizontal="left" vertical="center" wrapText="1"/>
    </xf>
    <xf numFmtId="2" fontId="8" fillId="6" borderId="10" xfId="1" applyNumberFormat="1" applyFont="1" applyFill="1" applyBorder="1" applyAlignment="1">
      <alignment horizontal="center" vertical="center" wrapText="1"/>
    </xf>
    <xf numFmtId="0" fontId="5" fillId="6" borderId="23" xfId="1" applyFont="1" applyFill="1" applyBorder="1" applyAlignment="1">
      <alignment vertical="center" wrapText="1"/>
    </xf>
    <xf numFmtId="2" fontId="9" fillId="6" borderId="6" xfId="1" applyNumberFormat="1" applyFont="1" applyFill="1" applyBorder="1" applyAlignment="1">
      <alignment horizontal="center" vertical="center" wrapText="1"/>
    </xf>
    <xf numFmtId="0" fontId="18" fillId="6" borderId="23" xfId="1" applyFont="1" applyFill="1" applyBorder="1" applyAlignment="1">
      <alignment horizontal="center" vertical="center" wrapText="1"/>
    </xf>
    <xf numFmtId="2" fontId="18" fillId="6" borderId="19" xfId="1" applyNumberFormat="1" applyFont="1" applyFill="1" applyBorder="1" applyAlignment="1">
      <alignment horizontal="center" vertical="center" wrapText="1"/>
    </xf>
    <xf numFmtId="0" fontId="13" fillId="7" borderId="10" xfId="1" applyFont="1" applyFill="1" applyBorder="1" applyAlignment="1">
      <alignment horizontal="left" vertical="center" wrapText="1"/>
    </xf>
    <xf numFmtId="0" fontId="9" fillId="0" borderId="23" xfId="1" applyFont="1" applyBorder="1" applyAlignment="1">
      <alignment horizontal="left" vertical="top" wrapText="1"/>
    </xf>
    <xf numFmtId="0" fontId="9" fillId="3" borderId="10" xfId="1" applyFont="1" applyFill="1" applyBorder="1" applyAlignment="1">
      <alignment horizontal="center" vertical="center" wrapText="1"/>
    </xf>
    <xf numFmtId="0" fontId="27" fillId="0" borderId="0" xfId="1" applyFont="1"/>
    <xf numFmtId="0" fontId="5" fillId="0" borderId="10" xfId="1" applyFont="1" applyBorder="1" applyAlignment="1">
      <alignment horizontal="left" vertical="top" wrapText="1"/>
    </xf>
    <xf numFmtId="0" fontId="13" fillId="0" borderId="10" xfId="1" applyFont="1" applyBorder="1" applyAlignment="1">
      <alignment horizontal="left" vertical="top" wrapText="1"/>
    </xf>
    <xf numFmtId="0" fontId="13" fillId="14" borderId="10" xfId="1" applyFont="1" applyFill="1" applyBorder="1" applyAlignment="1">
      <alignment horizontal="left" vertical="center" wrapText="1"/>
    </xf>
    <xf numFmtId="0" fontId="13" fillId="8" borderId="10" xfId="1" applyFont="1" applyFill="1" applyBorder="1" applyAlignment="1">
      <alignment horizontal="left" vertical="center" wrapText="1"/>
    </xf>
    <xf numFmtId="0" fontId="9" fillId="6" borderId="27" xfId="1" applyFont="1" applyFill="1" applyBorder="1" applyAlignment="1">
      <alignment horizontal="center" vertical="center" wrapText="1"/>
    </xf>
    <xf numFmtId="0" fontId="9" fillId="0" borderId="25" xfId="1" applyFont="1" applyBorder="1" applyAlignment="1">
      <alignment horizontal="left" vertical="top" wrapText="1"/>
    </xf>
    <xf numFmtId="0" fontId="9" fillId="6" borderId="24" xfId="1" applyFont="1" applyFill="1" applyBorder="1" applyAlignment="1">
      <alignment horizontal="center" vertical="center" wrapText="1"/>
    </xf>
    <xf numFmtId="0" fontId="13" fillId="9" borderId="10" xfId="1" applyFont="1" applyFill="1" applyBorder="1" applyAlignment="1">
      <alignment horizontal="left" vertical="center" wrapText="1"/>
    </xf>
    <xf numFmtId="0" fontId="9" fillId="6" borderId="27" xfId="1" applyFont="1" applyFill="1" applyBorder="1" applyAlignment="1">
      <alignment horizontal="left" vertical="center" wrapText="1"/>
    </xf>
    <xf numFmtId="2" fontId="5" fillId="6" borderId="26" xfId="1" applyNumberFormat="1" applyFont="1" applyFill="1" applyBorder="1" applyAlignment="1">
      <alignment horizontal="center" vertical="center" wrapText="1"/>
    </xf>
    <xf numFmtId="165" fontId="18" fillId="6" borderId="26" xfId="1" applyNumberFormat="1" applyFont="1" applyFill="1" applyBorder="1" applyAlignment="1">
      <alignment horizontal="center" vertical="center" wrapText="1"/>
    </xf>
    <xf numFmtId="0" fontId="14" fillId="0" borderId="26" xfId="1" applyFont="1" applyBorder="1" applyAlignment="1">
      <alignment horizontal="left" vertical="top" wrapText="1"/>
    </xf>
    <xf numFmtId="165" fontId="18" fillId="6" borderId="10" xfId="1" applyNumberFormat="1" applyFont="1" applyFill="1" applyBorder="1" applyAlignment="1">
      <alignment horizontal="center" vertical="center" wrapText="1"/>
    </xf>
    <xf numFmtId="0" fontId="9" fillId="0" borderId="10" xfId="1" applyFont="1" applyBorder="1" applyAlignment="1">
      <alignment horizontal="left" vertical="top" wrapText="1"/>
    </xf>
    <xf numFmtId="0" fontId="9" fillId="0" borderId="19" xfId="1" applyFont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9" fillId="0" borderId="6" xfId="1" applyFont="1" applyBorder="1" applyAlignment="1">
      <alignment horizontal="left" vertical="top" wrapText="1"/>
    </xf>
    <xf numFmtId="0" fontId="4" fillId="8" borderId="1" xfId="1" applyFont="1" applyFill="1" applyBorder="1" applyAlignment="1">
      <alignment horizontal="left" vertical="center"/>
    </xf>
    <xf numFmtId="0" fontId="4" fillId="8" borderId="7" xfId="1" applyFont="1" applyFill="1" applyBorder="1" applyAlignment="1">
      <alignment horizontal="left" vertical="center"/>
    </xf>
    <xf numFmtId="0" fontId="4" fillId="8" borderId="8" xfId="1" applyFont="1" applyFill="1" applyBorder="1" applyAlignment="1">
      <alignment horizontal="left" vertical="center"/>
    </xf>
    <xf numFmtId="0" fontId="4" fillId="9" borderId="0" xfId="1" applyFont="1" applyFill="1" applyAlignment="1">
      <alignment horizontal="left" vertical="center"/>
    </xf>
    <xf numFmtId="0" fontId="11" fillId="0" borderId="10" xfId="1" applyFont="1" applyBorder="1" applyAlignment="1">
      <alignment horizontal="left" vertical="top" wrapText="1"/>
    </xf>
    <xf numFmtId="0" fontId="11" fillId="0" borderId="19" xfId="1" applyFont="1" applyBorder="1" applyAlignment="1">
      <alignment horizontal="left" vertical="top" wrapText="1"/>
    </xf>
    <xf numFmtId="0" fontId="3" fillId="0" borderId="0" xfId="1" applyFont="1" applyAlignment="1">
      <alignment horizontal="left" vertical="center" wrapText="1"/>
    </xf>
    <xf numFmtId="0" fontId="4" fillId="5" borderId="1" xfId="1" applyFont="1" applyFill="1" applyBorder="1" applyAlignment="1">
      <alignment horizontal="left" vertical="center"/>
    </xf>
    <xf numFmtId="0" fontId="4" fillId="5" borderId="7" xfId="1" applyFont="1" applyFill="1" applyBorder="1" applyAlignment="1">
      <alignment horizontal="left" vertical="center"/>
    </xf>
    <xf numFmtId="0" fontId="4" fillId="5" borderId="8" xfId="1" applyFont="1" applyFill="1" applyBorder="1" applyAlignment="1">
      <alignment horizontal="left" vertical="center"/>
    </xf>
    <xf numFmtId="0" fontId="4" fillId="5" borderId="0" xfId="1" applyFont="1" applyFill="1" applyAlignment="1">
      <alignment horizontal="left" vertical="center"/>
    </xf>
    <xf numFmtId="0" fontId="8" fillId="6" borderId="14" xfId="1" applyFont="1" applyFill="1" applyBorder="1" applyAlignment="1">
      <alignment horizontal="center" vertical="center" wrapText="1"/>
    </xf>
    <xf numFmtId="0" fontId="8" fillId="6" borderId="15" xfId="1" applyFont="1" applyFill="1" applyBorder="1" applyAlignment="1">
      <alignment horizontal="center" vertical="center" wrapText="1"/>
    </xf>
    <xf numFmtId="0" fontId="8" fillId="6" borderId="16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left" vertical="center"/>
    </xf>
    <xf numFmtId="0" fontId="4" fillId="7" borderId="7" xfId="1" applyFont="1" applyFill="1" applyBorder="1" applyAlignment="1">
      <alignment horizontal="left" vertical="center"/>
    </xf>
    <xf numFmtId="0" fontId="4" fillId="7" borderId="8" xfId="1" applyFont="1" applyFill="1" applyBorder="1" applyAlignment="1">
      <alignment horizontal="left" vertical="center"/>
    </xf>
    <xf numFmtId="0" fontId="7" fillId="0" borderId="5" xfId="1" applyFont="1" applyBorder="1" applyAlignment="1">
      <alignment horizontal="left" vertical="top" wrapText="1"/>
    </xf>
    <xf numFmtId="0" fontId="7" fillId="0" borderId="6" xfId="1" applyFont="1" applyBorder="1" applyAlignment="1">
      <alignment horizontal="left" vertical="top" wrapText="1"/>
    </xf>
    <xf numFmtId="0" fontId="14" fillId="0" borderId="5" xfId="1" applyFont="1" applyBorder="1" applyAlignment="1">
      <alignment horizontal="left" vertical="top" wrapText="1"/>
    </xf>
    <xf numFmtId="0" fontId="14" fillId="0" borderId="6" xfId="1" applyFont="1" applyBorder="1" applyAlignment="1">
      <alignment horizontal="left" vertical="top" wrapText="1"/>
    </xf>
    <xf numFmtId="0" fontId="19" fillId="0" borderId="10" xfId="1" applyFont="1" applyBorder="1" applyAlignment="1">
      <alignment horizontal="left" vertical="top" wrapText="1"/>
    </xf>
    <xf numFmtId="0" fontId="10" fillId="7" borderId="28" xfId="1" applyFont="1" applyFill="1" applyBorder="1" applyAlignment="1">
      <alignment horizontal="left" vertical="center" wrapText="1"/>
    </xf>
    <xf numFmtId="0" fontId="10" fillId="7" borderId="2" xfId="1" applyFont="1" applyFill="1" applyBorder="1" applyAlignment="1">
      <alignment horizontal="left" vertical="center" wrapText="1"/>
    </xf>
    <xf numFmtId="0" fontId="10" fillId="7" borderId="3" xfId="1" applyFont="1" applyFill="1" applyBorder="1" applyAlignment="1">
      <alignment horizontal="left" vertical="center" wrapText="1"/>
    </xf>
    <xf numFmtId="0" fontId="14" fillId="0" borderId="10" xfId="1" applyFont="1" applyBorder="1" applyAlignment="1">
      <alignment horizontal="left" vertical="top" wrapText="1"/>
    </xf>
    <xf numFmtId="0" fontId="14" fillId="0" borderId="19" xfId="1" applyFont="1" applyBorder="1" applyAlignment="1">
      <alignment horizontal="left" vertical="top" wrapText="1"/>
    </xf>
    <xf numFmtId="0" fontId="10" fillId="9" borderId="28" xfId="1" applyFont="1" applyFill="1" applyBorder="1" applyAlignment="1">
      <alignment horizontal="left" vertical="center" wrapText="1"/>
    </xf>
    <xf numFmtId="0" fontId="10" fillId="9" borderId="2" xfId="1" applyFont="1" applyFill="1" applyBorder="1" applyAlignment="1">
      <alignment horizontal="left" vertical="center" wrapText="1"/>
    </xf>
    <xf numFmtId="0" fontId="10" fillId="9" borderId="3" xfId="1" applyFont="1" applyFill="1" applyBorder="1" applyAlignment="1">
      <alignment horizontal="left" vertical="center" wrapText="1"/>
    </xf>
    <xf numFmtId="0" fontId="12" fillId="2" borderId="0" xfId="1" applyFont="1" applyFill="1"/>
    <xf numFmtId="0" fontId="17" fillId="2" borderId="10" xfId="1" applyFont="1" applyFill="1" applyBorder="1" applyAlignment="1">
      <alignment horizontal="left" vertical="center" wrapText="1"/>
    </xf>
    <xf numFmtId="0" fontId="22" fillId="6" borderId="10" xfId="1" applyFont="1" applyFill="1" applyBorder="1" applyAlignment="1">
      <alignment horizontal="center" vertical="center" wrapText="1"/>
    </xf>
    <xf numFmtId="2" fontId="5" fillId="6" borderId="10" xfId="1" applyNumberFormat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left" vertical="center"/>
    </xf>
    <xf numFmtId="0" fontId="14" fillId="4" borderId="10" xfId="1" applyFont="1" applyFill="1" applyBorder="1" applyAlignment="1">
      <alignment horizontal="left" vertical="center" wrapText="1"/>
    </xf>
    <xf numFmtId="0" fontId="13" fillId="10" borderId="10" xfId="1" applyFont="1" applyFill="1" applyBorder="1" applyAlignment="1">
      <alignment horizontal="left" vertical="center" wrapText="1"/>
    </xf>
    <xf numFmtId="0" fontId="16" fillId="0" borderId="10" xfId="1" applyFont="1" applyBorder="1" applyAlignment="1">
      <alignment horizontal="center" vertical="center" wrapText="1"/>
    </xf>
    <xf numFmtId="0" fontId="18" fillId="6" borderId="10" xfId="1" applyFont="1" applyFill="1" applyBorder="1" applyAlignment="1">
      <alignment horizontal="left" vertical="center" wrapText="1"/>
    </xf>
    <xf numFmtId="0" fontId="5" fillId="3" borderId="10" xfId="1" applyFont="1" applyFill="1" applyBorder="1" applyAlignment="1">
      <alignment horizontal="left" vertical="center" wrapText="1"/>
    </xf>
    <xf numFmtId="0" fontId="18" fillId="6" borderId="10" xfId="1" applyFont="1" applyFill="1" applyBorder="1" applyAlignment="1">
      <alignment horizontal="left" vertical="top" wrapText="1"/>
    </xf>
    <xf numFmtId="0" fontId="5" fillId="6" borderId="10" xfId="1" applyFont="1" applyFill="1" applyBorder="1" applyAlignment="1">
      <alignment horizontal="left" vertical="center" wrapText="1"/>
    </xf>
    <xf numFmtId="0" fontId="1" fillId="0" borderId="0" xfId="1"/>
    <xf numFmtId="0" fontId="3" fillId="4" borderId="10" xfId="1" applyFont="1" applyFill="1" applyBorder="1" applyAlignment="1">
      <alignment horizontal="left" vertical="top" wrapText="1"/>
    </xf>
    <xf numFmtId="0" fontId="17" fillId="2" borderId="26" xfId="1" applyFont="1" applyFill="1" applyBorder="1" applyAlignment="1">
      <alignment horizontal="left" vertical="center" wrapText="1"/>
    </xf>
    <xf numFmtId="0" fontId="18" fillId="6" borderId="29" xfId="1" applyFont="1" applyFill="1" applyBorder="1" applyAlignment="1">
      <alignment horizontal="left" vertical="top" wrapText="1"/>
    </xf>
    <xf numFmtId="0" fontId="18" fillId="6" borderId="13" xfId="1" applyFont="1" applyFill="1" applyBorder="1" applyAlignment="1">
      <alignment horizontal="left" vertical="top" wrapText="1"/>
    </xf>
    <xf numFmtId="0" fontId="18" fillId="6" borderId="6" xfId="1" applyFont="1" applyFill="1" applyBorder="1" applyAlignment="1">
      <alignment horizontal="left" vertical="top" wrapText="1"/>
    </xf>
    <xf numFmtId="0" fontId="9" fillId="6" borderId="24" xfId="1" applyFont="1" applyFill="1" applyBorder="1" applyAlignment="1">
      <alignment horizontal="left" vertical="center" wrapText="1"/>
    </xf>
    <xf numFmtId="0" fontId="26" fillId="13" borderId="31" xfId="1" applyFont="1" applyFill="1" applyBorder="1" applyAlignment="1">
      <alignment horizontal="center" vertical="center" wrapText="1"/>
    </xf>
    <xf numFmtId="0" fontId="26" fillId="13" borderId="7" xfId="1" applyFont="1" applyFill="1" applyBorder="1" applyAlignment="1">
      <alignment horizontal="center" vertical="center" wrapText="1"/>
    </xf>
    <xf numFmtId="0" fontId="26" fillId="13" borderId="8" xfId="1" applyFont="1" applyFill="1" applyBorder="1" applyAlignment="1">
      <alignment horizontal="center" vertical="center" wrapText="1"/>
    </xf>
    <xf numFmtId="2" fontId="25" fillId="6" borderId="14" xfId="1" applyNumberFormat="1" applyFont="1" applyFill="1" applyBorder="1" applyAlignment="1">
      <alignment horizontal="center" vertical="center" wrapText="1"/>
    </xf>
    <xf numFmtId="2" fontId="25" fillId="6" borderId="15" xfId="1" applyNumberFormat="1" applyFont="1" applyFill="1" applyBorder="1" applyAlignment="1">
      <alignment horizontal="center" vertical="center" wrapText="1"/>
    </xf>
    <xf numFmtId="2" fontId="25" fillId="6" borderId="16" xfId="1" applyNumberFormat="1" applyFont="1" applyFill="1" applyBorder="1" applyAlignment="1">
      <alignment horizontal="center" vertical="center" wrapText="1"/>
    </xf>
    <xf numFmtId="0" fontId="5" fillId="6" borderId="13" xfId="1" applyFont="1" applyFill="1" applyBorder="1" applyAlignment="1">
      <alignment horizontal="center" vertical="center" wrapText="1"/>
    </xf>
    <xf numFmtId="0" fontId="5" fillId="6" borderId="33" xfId="1" applyFont="1" applyFill="1" applyBorder="1" applyAlignment="1">
      <alignment horizontal="center" vertical="center" wrapText="1"/>
    </xf>
    <xf numFmtId="0" fontId="5" fillId="6" borderId="32" xfId="1" applyFont="1" applyFill="1" applyBorder="1" applyAlignment="1">
      <alignment horizontal="center" vertical="center" wrapText="1"/>
    </xf>
    <xf numFmtId="0" fontId="13" fillId="10" borderId="24" xfId="1" applyFont="1" applyFill="1" applyBorder="1" applyAlignment="1">
      <alignment horizontal="left" vertical="center" wrapText="1"/>
    </xf>
    <xf numFmtId="0" fontId="16" fillId="0" borderId="24" xfId="1" applyFont="1" applyBorder="1" applyAlignment="1">
      <alignment horizontal="center" vertical="center" wrapText="1"/>
    </xf>
    <xf numFmtId="0" fontId="17" fillId="2" borderId="24" xfId="1" applyFont="1" applyFill="1" applyBorder="1" applyAlignment="1">
      <alignment horizontal="left" vertical="center" wrapText="1"/>
    </xf>
    <xf numFmtId="0" fontId="17" fillId="2" borderId="27" xfId="1" applyFont="1" applyFill="1" applyBorder="1" applyAlignment="1">
      <alignment horizontal="left" vertical="center" wrapText="1"/>
    </xf>
    <xf numFmtId="0" fontId="12" fillId="2" borderId="24" xfId="1" applyFont="1" applyFill="1" applyBorder="1" applyAlignment="1">
      <alignment horizontal="left" vertical="center"/>
    </xf>
    <xf numFmtId="0" fontId="14" fillId="4" borderId="24" xfId="1" applyFont="1" applyFill="1" applyBorder="1" applyAlignment="1">
      <alignment horizontal="left" vertical="center" wrapText="1"/>
    </xf>
    <xf numFmtId="0" fontId="9" fillId="3" borderId="24" xfId="1" applyFont="1" applyFill="1" applyBorder="1" applyAlignment="1">
      <alignment horizontal="left" vertical="top" wrapText="1"/>
    </xf>
    <xf numFmtId="0" fontId="9" fillId="3" borderId="23" xfId="1" applyFont="1" applyFill="1" applyBorder="1" applyAlignment="1">
      <alignment horizontal="left" vertical="top" wrapText="1"/>
    </xf>
    <xf numFmtId="0" fontId="9" fillId="3" borderId="34" xfId="1" applyFont="1" applyFill="1" applyBorder="1" applyAlignment="1">
      <alignment horizontal="left" vertical="top" wrapText="1"/>
    </xf>
    <xf numFmtId="0" fontId="27" fillId="0" borderId="34" xfId="1" applyFont="1" applyBorder="1" applyAlignment="1">
      <alignment horizontal="center"/>
    </xf>
    <xf numFmtId="0" fontId="9" fillId="0" borderId="24" xfId="1" applyFont="1" applyBorder="1" applyAlignment="1">
      <alignment horizontal="left" vertical="top" wrapText="1"/>
    </xf>
    <xf numFmtId="0" fontId="9" fillId="0" borderId="34" xfId="1" applyFont="1" applyBorder="1" applyAlignment="1">
      <alignment horizontal="left" vertical="top" wrapText="1"/>
    </xf>
    <xf numFmtId="0" fontId="9" fillId="0" borderId="23" xfId="1" applyFont="1" applyBorder="1" applyAlignment="1">
      <alignment horizontal="left" vertical="top" wrapText="1"/>
    </xf>
    <xf numFmtId="0" fontId="18" fillId="6" borderId="24" xfId="1" applyFont="1" applyFill="1" applyBorder="1" applyAlignment="1">
      <alignment horizontal="center" vertical="center" wrapText="1"/>
    </xf>
    <xf numFmtId="0" fontId="5" fillId="3" borderId="24" xfId="1" applyFont="1" applyFill="1" applyBorder="1" applyAlignment="1">
      <alignment horizontal="left" vertical="center" wrapText="1"/>
    </xf>
    <xf numFmtId="0" fontId="9" fillId="0" borderId="24" xfId="1" applyFont="1" applyBorder="1" applyAlignment="1">
      <alignment horizontal="center" vertical="center" wrapText="1"/>
    </xf>
    <xf numFmtId="0" fontId="14" fillId="0" borderId="24" xfId="1" applyFont="1" applyBorder="1" applyAlignment="1">
      <alignment horizontal="left" vertical="top" wrapText="1"/>
    </xf>
    <xf numFmtId="0" fontId="18" fillId="6" borderId="24" xfId="1" applyFont="1" applyFill="1" applyBorder="1" applyAlignment="1">
      <alignment horizontal="left" vertical="center" wrapText="1"/>
    </xf>
    <xf numFmtId="0" fontId="29" fillId="2" borderId="0" xfId="1" applyFont="1" applyFill="1" applyAlignment="1">
      <alignment horizontal="left" vertical="center"/>
    </xf>
  </cellXfs>
  <cellStyles count="2">
    <cellStyle name="Normal" xfId="0" builtinId="0"/>
    <cellStyle name="Normal 2" xfId="1" xr:uid="{DEFE83D4-D850-A043-BBA7-E19F111FCD0C}"/>
  </cellStyles>
  <dxfs count="96"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7F7F7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7F7F7"/>
        </patternFill>
      </fill>
    </dxf>
    <dxf>
      <fill>
        <patternFill>
          <bgColor rgb="FFE2EFDA"/>
        </patternFill>
      </fill>
    </dxf>
    <dxf>
      <font>
        <b/>
        <sz val="11"/>
        <color rgb="FF000000"/>
        <name val="Arial"/>
        <charset val="1"/>
      </font>
      <fill>
        <patternFill>
          <bgColor rgb="FFBDD7EE"/>
        </patternFill>
      </fill>
    </dxf>
    <dxf>
      <font>
        <b/>
        <sz val="11"/>
        <color rgb="FF000000"/>
        <name val="Arial"/>
        <charset val="1"/>
      </font>
      <fill>
        <patternFill>
          <bgColor rgb="FFFFD966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border diagonalUp="0" diagonalDown="0">
        <left style="thin">
          <color rgb="FFB5B5B5"/>
        </left>
        <right/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 diagonalUp="0" diagonalDown="0">
        <left/>
        <right style="thin">
          <color rgb="FFB5B5B5"/>
        </right>
        <top style="thin">
          <color rgb="FFB5B5B5"/>
        </top>
        <bottom style="thin">
          <color rgb="FFB5B5B5"/>
        </bottom>
        <vertical style="thin">
          <color rgb="FFB5B5B5"/>
        </vertical>
        <horizontal style="thin">
          <color rgb="FFB5B5B5"/>
        </horizontal>
      </border>
    </dxf>
    <dxf>
      <border>
        <top style="thin">
          <color rgb="FFB5B5B5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rgb="FFB5B5B5"/>
        </bottom>
      </border>
    </dxf>
    <dxf>
      <border diagonalUp="0" diagonalDown="0">
        <left style="thin">
          <color rgb="FFB5B5B5"/>
        </left>
        <right style="thin">
          <color rgb="FFB5B5B5"/>
        </right>
        <top/>
        <bottom/>
        <vertical style="thin">
          <color rgb="FFB5B5B5"/>
        </vertical>
        <horizontal style="thin">
          <color rgb="FFB5B5B5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numFmt numFmtId="1" formatCode="0"/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/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border outline="0">
        <top style="thin">
          <color rgb="FFB5B5B5"/>
        </top>
      </border>
    </dxf>
    <dxf>
      <border outline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B5B5B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fill>
        <patternFill patternType="solid">
          <fgColor rgb="FFDCE9F4"/>
          <bgColor rgb="FFD9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5B5B5"/>
        </left>
        <right style="thin">
          <color rgb="FFB5B5B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/>
        <top style="thin">
          <color rgb="FFB5B5B5"/>
        </top>
        <bottom style="thin">
          <color rgb="FFB5B5B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fill>
        <patternFill patternType="solid">
          <fgColor rgb="FFF9F9F9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1"/>
        <scheme val="none"/>
      </font>
      <alignment horizontal="left" vertical="top" textRotation="0" wrapText="1" indent="0" justifyLastLine="0" shrinkToFit="0" readingOrder="0"/>
      <border diagonalUp="0" diagonalDown="0">
        <left/>
        <right style="thin">
          <color rgb="FFB5B5B5"/>
        </right>
        <top style="thin">
          <color rgb="FFB5B5B5"/>
        </top>
        <bottom style="thin">
          <color rgb="FFB5B5B5"/>
        </bottom>
        <vertical/>
        <horizontal/>
      </border>
    </dxf>
    <dxf>
      <border outline="0">
        <top style="thin">
          <color rgb="FFB5B5B5"/>
        </top>
      </border>
    </dxf>
    <dxf>
      <border outline="0">
        <left style="thin">
          <color rgb="FFB5B5B5"/>
        </left>
        <right style="thin">
          <color rgb="FFB5B5B5"/>
        </right>
        <top style="thin">
          <color rgb="FFB5B5B5"/>
        </top>
        <bottom style="thin">
          <color rgb="FFB5B5B5"/>
        </bottom>
      </border>
    </dxf>
    <dxf>
      <border outline="0">
        <bottom style="thin">
          <color rgb="FFB5B5B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charset val="1"/>
        <scheme val="none"/>
      </font>
      <fill>
        <patternFill patternType="solid">
          <fgColor rgb="FFDCE9F4"/>
          <bgColor rgb="FFD9E2F3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B5B5B5"/>
        </left>
        <right style="thin">
          <color rgb="FFB5B5B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Readiness by dimension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'1_Dashboard'!$B$8:$B$12</c:f>
              <c:strCache>
                <c:ptCount val="5"/>
                <c:pt idx="0">
                  <c:v>Data</c:v>
                </c:pt>
                <c:pt idx="1">
                  <c:v>Process</c:v>
                </c:pt>
                <c:pt idx="2">
                  <c:v>Governance</c:v>
                </c:pt>
                <c:pt idx="3">
                  <c:v>Application</c:v>
                </c:pt>
                <c:pt idx="4">
                  <c:v>External Ecosystem</c:v>
                </c:pt>
              </c:strCache>
            </c:strRef>
          </c:cat>
          <c:val>
            <c:numRef>
              <c:f>'1_Dashboard'!$C$8:$C$12</c:f>
              <c:numCache>
                <c:formatCode>0.00</c:formatCode>
                <c:ptCount val="5"/>
                <c:pt idx="0">
                  <c:v>3.8</c:v>
                </c:pt>
                <c:pt idx="1">
                  <c:v>3.8</c:v>
                </c:pt>
                <c:pt idx="2">
                  <c:v>3.8</c:v>
                </c:pt>
                <c:pt idx="3">
                  <c:v>4.4000000000000004</c:v>
                </c:pt>
                <c:pt idx="4">
                  <c:v>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3F-3547-964F-6FF8470E7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798312"/>
        <c:axId val="72553354"/>
      </c:radarChart>
      <c:catAx>
        <c:axId val="7379831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2553354"/>
        <c:crosses val="autoZero"/>
        <c:auto val="1"/>
        <c:lblAlgn val="ctr"/>
        <c:lblOffset val="100"/>
        <c:noMultiLvlLbl val="0"/>
      </c:catAx>
      <c:valAx>
        <c:axId val="725533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79831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Attribute combined scores (P2 sheet 7)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'7_P2_Attributes'!$B$12:$B$21</c:f>
              <c:strCache>
                <c:ptCount val="10"/>
                <c:pt idx="0">
                  <c:v>Energy efficiency class</c:v>
                </c:pt>
                <c:pt idx="1">
                  <c:v>Repairability score (where in scope)</c:v>
                </c:pt>
                <c:pt idx="2">
                  <c:v>Reliability — guaranteed lifespan</c:v>
                </c:pt>
                <c:pt idx="3">
                  <c:v>Recycled content (overall)</c:v>
                </c:pt>
                <c:pt idx="4">
                  <c:v>Hazardous substance presence</c:v>
                </c:pt>
                <c:pt idx="5">
                  <c:v>Spare parts availability period</c:v>
                </c:pt>
                <c:pt idx="6">
                  <c:v>Carbon footprint (PCF)</c:v>
                </c:pt>
                <c:pt idx="7">
                  <c:v>Battery cycle life (where applicable)</c:v>
                </c:pt>
                <c:pt idx="8">
                  <c:v>Conflict-mineral disclosure</c:v>
                </c:pt>
                <c:pt idx="9">
                  <c:v>End-of-life take-back declaration</c:v>
                </c:pt>
              </c:strCache>
            </c:strRef>
          </c:cat>
          <c:val>
            <c:numRef>
              <c:f>'7_P2_Attributes'!$K$12:$K$21</c:f>
              <c:numCache>
                <c:formatCode>0.00</c:formatCode>
                <c:ptCount val="10"/>
                <c:pt idx="0">
                  <c:v>4.5999999999999996</c:v>
                </c:pt>
                <c:pt idx="1">
                  <c:v>4.4000000000000004</c:v>
                </c:pt>
                <c:pt idx="2">
                  <c:v>3.4000000000000004</c:v>
                </c:pt>
                <c:pt idx="3">
                  <c:v>3.6000000000000005</c:v>
                </c:pt>
                <c:pt idx="4">
                  <c:v>4</c:v>
                </c:pt>
                <c:pt idx="5">
                  <c:v>4</c:v>
                </c:pt>
                <c:pt idx="6">
                  <c:v>3.4000000000000004</c:v>
                </c:pt>
                <c:pt idx="7">
                  <c:v>3.8000000000000003</c:v>
                </c:pt>
                <c:pt idx="8">
                  <c:v>3.0000000000000004</c:v>
                </c:pt>
                <c:pt idx="9">
                  <c:v>3.4000000000000004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F7-264A-AD53-A2E74E7FE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532069"/>
        <c:axId val="48461223"/>
      </c:barChart>
      <c:catAx>
        <c:axId val="67532069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461223"/>
        <c:crosses val="autoZero"/>
        <c:auto val="1"/>
        <c:lblAlgn val="ctr"/>
        <c:lblOffset val="100"/>
        <c:noMultiLvlLbl val="0"/>
      </c:catAx>
      <c:valAx>
        <c:axId val="4846122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53206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7</xdr:row>
      <xdr:rowOff>0</xdr:rowOff>
    </xdr:from>
    <xdr:to>
      <xdr:col>13</xdr:col>
      <xdr:colOff>11520</xdr:colOff>
      <xdr:row>17</xdr:row>
      <xdr:rowOff>623140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2711A-C85B-AF4C-8FA3-85481A70FA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60</xdr:colOff>
      <xdr:row>20</xdr:row>
      <xdr:rowOff>110980</xdr:rowOff>
    </xdr:from>
    <xdr:to>
      <xdr:col>13</xdr:col>
      <xdr:colOff>25400</xdr:colOff>
      <xdr:row>47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4A707B-B363-0143-9B2C-1A97FE889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451000</xdr:colOff>
      <xdr:row>0</xdr:row>
      <xdr:rowOff>184241</xdr:rowOff>
    </xdr:from>
    <xdr:to>
      <xdr:col>3</xdr:col>
      <xdr:colOff>482600</xdr:colOff>
      <xdr:row>0</xdr:row>
      <xdr:rowOff>520267</xdr:rowOff>
    </xdr:to>
    <xdr:pic>
      <xdr:nvPicPr>
        <xdr:cNvPr id="4" name="Image 4" descr="Picture">
          <a:extLst>
            <a:ext uri="{FF2B5EF4-FFF2-40B4-BE49-F238E27FC236}">
              <a16:creationId xmlns:a16="http://schemas.microsoft.com/office/drawing/2014/main" id="{7354DAD3-E817-B445-AD19-725522780899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356000" y="184241"/>
          <a:ext cx="946000" cy="336026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117520</xdr:colOff>
      <xdr:row>0</xdr:row>
      <xdr:rowOff>120740</xdr:rowOff>
    </xdr:from>
    <xdr:to>
      <xdr:col>1</xdr:col>
      <xdr:colOff>1574800</xdr:colOff>
      <xdr:row>0</xdr:row>
      <xdr:rowOff>582159</xdr:rowOff>
    </xdr:to>
    <xdr:pic>
      <xdr:nvPicPr>
        <xdr:cNvPr id="5" name="Image 5" descr="Picture">
          <a:extLst>
            <a:ext uri="{FF2B5EF4-FFF2-40B4-BE49-F238E27FC236}">
              <a16:creationId xmlns:a16="http://schemas.microsoft.com/office/drawing/2014/main" id="{89C5FD88-DCA6-D241-AD27-F47BA67D07B3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346120" y="120740"/>
          <a:ext cx="1457280" cy="46141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219620</xdr:colOff>
      <xdr:row>0</xdr:row>
      <xdr:rowOff>133440</xdr:rowOff>
    </xdr:from>
    <xdr:to>
      <xdr:col>5</xdr:col>
      <xdr:colOff>698500</xdr:colOff>
      <xdr:row>0</xdr:row>
      <xdr:rowOff>485366</xdr:rowOff>
    </xdr:to>
    <xdr:pic>
      <xdr:nvPicPr>
        <xdr:cNvPr id="6" name="Image 6" descr="Picture">
          <a:extLst>
            <a:ext uri="{FF2B5EF4-FFF2-40B4-BE49-F238E27FC236}">
              <a16:creationId xmlns:a16="http://schemas.microsoft.com/office/drawing/2014/main" id="{25BF105B-F474-0244-8463-A0EC4B422AD9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953420" y="133440"/>
          <a:ext cx="1393280" cy="351926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117460</xdr:colOff>
      <xdr:row>0</xdr:row>
      <xdr:rowOff>57240</xdr:rowOff>
    </xdr:from>
    <xdr:to>
      <xdr:col>7</xdr:col>
      <xdr:colOff>80380</xdr:colOff>
      <xdr:row>0</xdr:row>
      <xdr:rowOff>628200</xdr:rowOff>
    </xdr:to>
    <xdr:pic>
      <xdr:nvPicPr>
        <xdr:cNvPr id="7" name="Image 7" descr="Picture">
          <a:extLst>
            <a:ext uri="{FF2B5EF4-FFF2-40B4-BE49-F238E27FC236}">
              <a16:creationId xmlns:a16="http://schemas.microsoft.com/office/drawing/2014/main" id="{1642FD40-C619-9A47-9C53-E836ACD2D2F8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5680060" y="57240"/>
          <a:ext cx="877320" cy="570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3229020</xdr:colOff>
      <xdr:row>0</xdr:row>
      <xdr:rowOff>12760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291CCDE-B3CC-B44F-87FB-423CCE88AC7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984420" y="1276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685800</xdr:colOff>
      <xdr:row>0</xdr:row>
      <xdr:rowOff>12700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FEDE0CD-844A-D348-84D6-1057CAF8F88A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62400" y="1270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723900</xdr:colOff>
      <xdr:row>0</xdr:row>
      <xdr:rowOff>0</xdr:rowOff>
    </xdr:from>
    <xdr:to>
      <xdr:col>6</xdr:col>
      <xdr:colOff>764376</xdr:colOff>
      <xdr:row>0</xdr:row>
      <xdr:rowOff>393640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A533214-9F84-F140-A40B-D9BD377FB1E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80500" y="0"/>
          <a:ext cx="1183476" cy="3936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647700</xdr:colOff>
      <xdr:row>0</xdr:row>
      <xdr:rowOff>12700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A5875F-44B6-0B42-8962-5D3DC3F5CAD4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949700" y="1270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622300</xdr:colOff>
      <xdr:row>0</xdr:row>
      <xdr:rowOff>12700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976D8149-D451-624E-B098-9B2A9D66994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84700" y="1270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469900</xdr:colOff>
      <xdr:row>0</xdr:row>
      <xdr:rowOff>12700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3F8944C-2DF6-B24C-85DB-64FA7B9A986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71900" y="1270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25400</xdr:colOff>
      <xdr:row>0</xdr:row>
      <xdr:rowOff>12700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4B583592-AA41-674A-8E2D-026174DF9C7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48200" y="1270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736600</xdr:colOff>
      <xdr:row>0</xdr:row>
      <xdr:rowOff>12700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5EDAB434-BD0F-BE43-9879-B404567B086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622800" y="1270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190500</xdr:colOff>
      <xdr:row>0</xdr:row>
      <xdr:rowOff>12700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C9C4C6E8-3444-044B-B55C-7C79AD5A7E9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152900" y="1270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12700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7F9AD51-7FD1-754E-8F8A-03F67DB7FF3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343400" y="1270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457200</xdr:colOff>
      <xdr:row>0</xdr:row>
      <xdr:rowOff>0</xdr:rowOff>
    </xdr:from>
    <xdr:ext cx="1183476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C2A104D-5BBD-194C-8747-A79F5E1B2B81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59200" y="0"/>
          <a:ext cx="1183476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796691</xdr:colOff>
      <xdr:row>0</xdr:row>
      <xdr:rowOff>12760</xdr:rowOff>
    </xdr:from>
    <xdr:ext cx="1148969" cy="39364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73E43140-379F-4344-B57F-2C5130503F6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638191" y="12760"/>
          <a:ext cx="1148969" cy="393640"/>
        </a:xfrm>
        <a:prstGeom prst="rect">
          <a:avLst/>
        </a:prstGeom>
        <a:ln w="0">
          <a:noFill/>
        </a:ln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54A18-6A5A-D14E-99F7-B77D0699C2E0}" name="Table3" displayName="Table3" ref="B20:K33" totalsRowShown="0" headerRowDxfId="95" headerRowBorderDxfId="94" tableBorderDxfId="93" totalsRowBorderDxfId="92">
  <autoFilter ref="B20:K33" xr:uid="{897F83CC-BB0A-5B4E-B740-C700F0C281DD}"/>
  <tableColumns count="10">
    <tableColumn id="1" xr3:uid="{D7D284A2-5E26-7845-9BD8-75DB68B41180}" name="Activity cluster" dataDxfId="91"/>
    <tableColumn id="2" xr3:uid="{1BD05508-9758-9847-B04F-E8AAB44A7131}" name="Phase" dataDxfId="90"/>
    <tableColumn id="3" xr3:uid="{8D609C5F-0E99-0846-9FD8-AB99852124BB}" name="Proc.Lead" dataDxfId="89"/>
    <tableColumn id="4" xr3:uid="{FC0A871A-B617-7045-8768-CF371D6CC95E}" name="Sustain.Lead" dataDxfId="88"/>
    <tableColumn id="5" xr3:uid="{6C3D2F68-6BAC-1F4E-ABB2-C795400D9DBB}" name="Legal" dataDxfId="87"/>
    <tableColumn id="6" xr3:uid="{110EE6F6-ACC7-2D4E-86FE-231CEF21C0DF}" name="EA" dataDxfId="86"/>
    <tableColumn id="7" xr3:uid="{81DEA63A-5F07-8340-8FC9-91907B7609C7}" name="Data Stwd" dataDxfId="85"/>
    <tableColumn id="8" xr3:uid="{68898239-02BA-E34A-A091-389F3BD3DAEF}" name="IT Int." dataDxfId="84"/>
    <tableColumn id="9" xr3:uid="{B712D874-EEAE-FE4A-B4CE-22AE0FD469B4}" name="Sponsor" dataDxfId="83"/>
    <tableColumn id="10" xr3:uid="{5ED6A0E8-B237-4F47-92CB-6E6CCF242C6A}" name="MS Liaison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3B1BA3-C04B-6043-ACA7-E18E003C8088}" name="Table4" displayName="Table4" ref="B9:H17" totalsRowShown="0" headerRowDxfId="81" dataDxfId="79" headerRowBorderDxfId="80" tableBorderDxfId="78" totalsRowBorderDxfId="77">
  <autoFilter ref="B9:H17" xr:uid="{79168819-8F84-9E49-BED5-009CA040AEA2}"/>
  <tableColumns count="7">
    <tableColumn id="1" xr3:uid="{F6EE30EE-D415-C040-9D31-40FD94155E94}" name="Name / placeholder" dataDxfId="76"/>
    <tableColumn id="2" xr3:uid="{32721838-F552-904C-8D77-5C1DEB243FB0}" name="Organisation / unit" dataDxfId="75"/>
    <tableColumn id="3" xr3:uid="{1979347B-6A17-DB4B-9DE3-FEF7389A91BA}" name="Role" dataDxfId="74"/>
    <tableColumn id="4" xr3:uid="{99B169F4-2ADE-4B4B-A963-E9F26FE08161}" name="Internal/External" dataDxfId="73"/>
    <tableColumn id="5" xr3:uid="{A8336EE1-DB09-144E-A3CA-A3FB028F9CA8}" name="Interest (1–5)" dataDxfId="72"/>
    <tableColumn id="6" xr3:uid="{D1A0BC01-8193-834B-BAE9-DCA4ECF704E1}" name="Influence (1–5)" dataDxfId="71"/>
    <tableColumn id="7" xr3:uid="{D1AE5C17-6BE8-FA45-AB8E-8013D153AF1F}" name="Influence" dataDxfId="70">
      <calculatedColumnFormula>F10*G10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0F8DAC8-45AF-E74C-8CF5-002F533A25BE}" name="Table1" displayName="Table1" ref="B9:I17" totalsRowShown="0">
  <autoFilter ref="B9:I17" xr:uid="{00000000-0009-0000-0100-000001000000}"/>
  <tableColumns count="8">
    <tableColumn id="1" xr3:uid="{00000000-0010-0000-0000-000001000000}" name="Process stage"/>
    <tableColumn id="2" xr3:uid="{00000000-0010-0000-0000-000002000000}" name="Specification"/>
    <tableColumn id="3" xr3:uid="{00000000-0010-0000-0000-000003000000}" name="Exclusion"/>
    <tableColumn id="4" xr3:uid="{00000000-0010-0000-0000-000004000000}" name="Qualification"/>
    <tableColumn id="5" xr3:uid="{00000000-0010-0000-0000-000005000000}" name="Award"/>
    <tableColumn id="6" xr3:uid="{00000000-0010-0000-0000-000006000000}" name="Contract clause"/>
    <tableColumn id="7" xr3:uid="{00000000-0010-0000-0000-000007000000}" name="Monitoring"/>
    <tableColumn id="8" xr3:uid="{00000000-0010-0000-0000-000008000000}" name="Stage priority">
      <calculatedColumnFormula>MAX(C10:H10)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F7EE3D-0E42-1B4A-A51D-EFC93C700886}" name="Table2" displayName="Table2" ref="B11:L21" totalsRowShown="0" headerRowDxfId="69" headerRowBorderDxfId="68" tableBorderDxfId="67" totalsRowBorderDxfId="66">
  <autoFilter ref="B11:L21" xr:uid="{00000000-0009-0000-0100-000002000000}"/>
  <tableColumns count="11">
    <tableColumn id="1" xr3:uid="{00000000-0010-0000-0100-000001000000}" name="DPP attribute" dataDxfId="65"/>
    <tableColumn id="2" xr3:uid="{00000000-0010-0000-0100-000002000000}" name="Scale / unit" dataDxfId="64"/>
    <tableColumn id="3" xr3:uid="{00000000-0010-0000-0100-000003000000}" name="What the score tells you" dataDxfId="63"/>
    <tableColumn id="4" xr3:uid="{00000000-0010-0000-0100-000004000000}" name="R (1–5)" dataDxfId="62"/>
    <tableColumn id="5" xr3:uid="{00000000-0010-0000-0100-000005000000}" name="E (1–5)" dataDxfId="61"/>
    <tableColumn id="6" xr3:uid="{00000000-0010-0000-0100-000006000000}" name="V (1–5)" dataDxfId="60"/>
    <tableColumn id="7" xr3:uid="{00000000-0010-0000-0100-000007000000}" name="wR" dataDxfId="59"/>
    <tableColumn id="8" xr3:uid="{00000000-0010-0000-0100-000008000000}" name="wE" dataDxfId="58"/>
    <tableColumn id="9" xr3:uid="{00000000-0010-0000-0100-000009000000}" name="wV" dataDxfId="57"/>
    <tableColumn id="10" xr3:uid="{00000000-0010-0000-0100-00000A000000}" name="Combined" dataDxfId="56">
      <calculatedColumnFormula>E12*H12+F12*I12+G12*J12</calculatedColumnFormula>
    </tableColumn>
    <tableColumn id="11" xr3:uid="{00000000-0010-0000-0100-00000B000000}" name="Recommendation" dataDxfId="55">
      <calculatedColumnFormula>IF(K12&gt;=4,"Use as criterion",IF(K12&gt;=3,"Use for verification","Market exploration only"))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0343-8E9C-F540-9ED7-92CE9E4AC363}">
  <sheetPr>
    <pageSetUpPr fitToPage="1"/>
  </sheetPr>
  <dimension ref="A1:M34"/>
  <sheetViews>
    <sheetView tabSelected="1" zoomScaleNormal="100" workbookViewId="0">
      <selection activeCell="C19" sqref="C19"/>
    </sheetView>
  </sheetViews>
  <sheetFormatPr baseColWidth="10" defaultColWidth="8.6640625" defaultRowHeight="15" x14ac:dyDescent="0.2"/>
  <cols>
    <col min="1" max="1" width="3" style="2" customWidth="1"/>
    <col min="2" max="2" width="22" style="2" customWidth="1"/>
    <col min="3" max="9" width="12" style="2" customWidth="1"/>
    <col min="10" max="10" width="4" style="2" customWidth="1"/>
    <col min="11" max="11" width="18" style="2" customWidth="1"/>
    <col min="12" max="13" width="12" style="2" customWidth="1"/>
    <col min="14" max="16384" width="8.6640625" style="2"/>
  </cols>
  <sheetData>
    <row r="1" spans="1:13" ht="55.5" customHeight="1" x14ac:dyDescent="0.2">
      <c r="A1" s="1"/>
    </row>
    <row r="2" spans="1:13" ht="15" customHeight="1" x14ac:dyDescent="0.2">
      <c r="A2" s="115" t="s">
        <v>0</v>
      </c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</row>
    <row r="3" spans="1:13" ht="16" thickBot="1" x14ac:dyDescent="0.25"/>
    <row r="4" spans="1:13" ht="21.75" customHeight="1" x14ac:dyDescent="0.2">
      <c r="B4" s="3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5" t="s">
        <v>8</v>
      </c>
    </row>
    <row r="5" spans="1:13" ht="25.5" customHeight="1" thickBot="1" x14ac:dyDescent="0.25">
      <c r="B5" s="6"/>
      <c r="C5" s="7" t="str">
        <f>'3_P0_Readiness'!B6</f>
        <v>Open</v>
      </c>
      <c r="D5" s="7" t="str">
        <f>'5_P1_Scope'!B6</f>
        <v>Open</v>
      </c>
      <c r="E5" s="7" t="str">
        <f>'6_P2_Touchpoints'!B6</f>
        <v>Open</v>
      </c>
      <c r="F5" s="7" t="str">
        <f>'8_P3_Mapping'!B6</f>
        <v>Open</v>
      </c>
      <c r="G5" s="7" t="str">
        <f>'10_P4_Pattern'!B6</f>
        <v>Open</v>
      </c>
      <c r="H5" s="7" t="str">
        <f>'11_P5_Roadmap'!B6</f>
        <v>Open</v>
      </c>
      <c r="I5" s="8" t="str">
        <f>'12_P6_Evaluation'!B6</f>
        <v>Open</v>
      </c>
    </row>
    <row r="6" spans="1:13" ht="16" thickBot="1" x14ac:dyDescent="0.25"/>
    <row r="7" spans="1:13" ht="15.75" customHeight="1" x14ac:dyDescent="0.2">
      <c r="B7" s="116" t="s">
        <v>9</v>
      </c>
      <c r="C7" s="117"/>
      <c r="D7" s="117"/>
      <c r="E7" s="117"/>
      <c r="F7" s="117"/>
      <c r="G7" s="117"/>
      <c r="H7" s="117"/>
      <c r="I7" s="118"/>
      <c r="K7" s="119" t="s">
        <v>10</v>
      </c>
      <c r="L7" s="119"/>
      <c r="M7" s="119"/>
    </row>
    <row r="8" spans="1:13" ht="15" customHeight="1" x14ac:dyDescent="0.2">
      <c r="B8" s="9" t="s">
        <v>11</v>
      </c>
      <c r="C8" s="10">
        <f>'3_P0_Readiness'!H10</f>
        <v>3.8</v>
      </c>
      <c r="I8" s="11"/>
    </row>
    <row r="9" spans="1:13" ht="15" customHeight="1" x14ac:dyDescent="0.2">
      <c r="B9" s="9" t="s">
        <v>12</v>
      </c>
      <c r="C9" s="10">
        <f>'3_P0_Readiness'!H15</f>
        <v>3.8</v>
      </c>
      <c r="I9" s="11"/>
    </row>
    <row r="10" spans="1:13" ht="15" customHeight="1" x14ac:dyDescent="0.2">
      <c r="B10" s="9" t="s">
        <v>13</v>
      </c>
      <c r="C10" s="10">
        <f>'3_P0_Readiness'!H20</f>
        <v>3.8</v>
      </c>
      <c r="I10" s="11"/>
    </row>
    <row r="11" spans="1:13" ht="15" customHeight="1" x14ac:dyDescent="0.2">
      <c r="B11" s="9" t="s">
        <v>14</v>
      </c>
      <c r="C11" s="10">
        <f>'3_P0_Readiness'!H25</f>
        <v>4.4000000000000004</v>
      </c>
      <c r="I11" s="11"/>
    </row>
    <row r="12" spans="1:13" ht="15" customHeight="1" thickBot="1" x14ac:dyDescent="0.25">
      <c r="B12" s="9" t="s">
        <v>15</v>
      </c>
      <c r="C12" s="10">
        <f>'3_P0_Readiness'!H30</f>
        <v>3.6</v>
      </c>
      <c r="I12" s="11"/>
    </row>
    <row r="13" spans="1:13" ht="15" customHeight="1" thickBot="1" x14ac:dyDescent="0.25">
      <c r="B13" s="12" t="s">
        <v>16</v>
      </c>
      <c r="C13" s="13">
        <f>AVERAGE(C8:C12)</f>
        <v>3.88</v>
      </c>
      <c r="D13" s="14" t="s">
        <v>17</v>
      </c>
      <c r="E13" s="120" t="str">
        <f>IF(C13&lt;2,"Low",IF(C13&lt;=3.5,"Medium","High"))</f>
        <v>High</v>
      </c>
      <c r="F13" s="121"/>
      <c r="G13" s="121"/>
      <c r="H13" s="121"/>
      <c r="I13" s="122"/>
    </row>
    <row r="14" spans="1:13" ht="16" thickBot="1" x14ac:dyDescent="0.25"/>
    <row r="15" spans="1:13" ht="15.75" customHeight="1" x14ac:dyDescent="0.2">
      <c r="B15" s="123" t="s">
        <v>18</v>
      </c>
      <c r="C15" s="124"/>
      <c r="D15" s="124"/>
      <c r="E15" s="124"/>
      <c r="F15" s="124"/>
      <c r="G15" s="124"/>
      <c r="H15" s="124"/>
      <c r="I15" s="125"/>
    </row>
    <row r="16" spans="1:13" ht="52" customHeight="1" x14ac:dyDescent="0.2">
      <c r="B16" s="15" t="s">
        <v>19</v>
      </c>
      <c r="C16" s="16" t="str">
        <f>'10_P4_Pattern'!C22</f>
        <v>C: Dataspace connector</v>
      </c>
      <c r="I16" s="11"/>
    </row>
    <row r="17" spans="2:13" ht="15" customHeight="1" x14ac:dyDescent="0.2">
      <c r="B17" s="15" t="s">
        <v>20</v>
      </c>
      <c r="C17" s="10">
        <f>'10_P4_Pattern'!C23</f>
        <v>4</v>
      </c>
      <c r="I17" s="11"/>
    </row>
    <row r="18" spans="2:13" ht="119" customHeight="1" thickBot="1" x14ac:dyDescent="0.25">
      <c r="B18" s="17" t="s">
        <v>21</v>
      </c>
      <c r="C18" s="126" t="str">
        <f>'10_P4_Pattern'!B25</f>
        <v>The following statement relies on availability of the chosen infrastructure. Fraunhofer ISST scores Pattern C highest: 117 notebook users on a 3 to4 year refresh (€200–400K/cycle) running on SAP S/4HANA + SAP Ariba via central Fraunhofer ICT and Microsoft Entra ID, combined with in-house dataspace expertise and existing Kubernetes capability. Pattern A is retained as a contingency. It depends on whether the market/regulatory body has made the infrastructure available..</v>
      </c>
      <c r="D18" s="126"/>
      <c r="E18" s="126"/>
      <c r="F18" s="126"/>
      <c r="G18" s="126"/>
      <c r="H18" s="126"/>
      <c r="I18" s="127"/>
    </row>
    <row r="19" spans="2:13" ht="16" thickBot="1" x14ac:dyDescent="0.25"/>
    <row r="20" spans="2:13" ht="15.75" customHeight="1" x14ac:dyDescent="0.2">
      <c r="B20" s="109" t="s">
        <v>22</v>
      </c>
      <c r="C20" s="110"/>
      <c r="D20" s="110"/>
      <c r="E20" s="110"/>
      <c r="F20" s="110"/>
      <c r="G20" s="110"/>
      <c r="H20" s="110"/>
      <c r="I20" s="111"/>
      <c r="K20" s="112" t="s">
        <v>23</v>
      </c>
      <c r="L20" s="112"/>
      <c r="M20" s="112"/>
    </row>
    <row r="21" spans="2:13" ht="26.25" customHeight="1" x14ac:dyDescent="0.2">
      <c r="B21" s="18" t="s">
        <v>24</v>
      </c>
      <c r="C21" s="19">
        <f>IFERROR(COUNTIF('8_P3_Mapping'!K10:K30,"Approved")/COUNTA('8_P3_Mapping'!B10:B30),0)*100</f>
        <v>33.333333333333329</v>
      </c>
      <c r="I21" s="11"/>
    </row>
    <row r="22" spans="2:13" ht="15" customHeight="1" x14ac:dyDescent="0.2">
      <c r="B22" s="18" t="s">
        <v>25</v>
      </c>
      <c r="C22" s="19">
        <f>COUNTIF('6_P2_Touchpoints'!C10:H17,"&gt;0")</f>
        <v>9</v>
      </c>
      <c r="I22" s="11"/>
    </row>
    <row r="23" spans="2:13" ht="15" customHeight="1" x14ac:dyDescent="0.2">
      <c r="B23" s="18" t="s">
        <v>26</v>
      </c>
      <c r="C23" s="19">
        <f>COUNTIF('7_P2_Attributes'!L12:L21,"Use as criterion")</f>
        <v>4</v>
      </c>
      <c r="I23" s="11"/>
    </row>
    <row r="24" spans="2:13" ht="15" customHeight="1" x14ac:dyDescent="0.2">
      <c r="B24" s="18" t="s">
        <v>27</v>
      </c>
      <c r="C24" s="19">
        <f>COUNTIF('11_P5_Roadmap'!P37:P57,"Red")</f>
        <v>0</v>
      </c>
      <c r="I24" s="11"/>
    </row>
    <row r="25" spans="2:13" ht="15" customHeight="1" x14ac:dyDescent="0.2">
      <c r="B25" s="18" t="s">
        <v>28</v>
      </c>
      <c r="C25" s="19">
        <f>COUNTIF('11_P5_Roadmap'!P37:P57,"Amber")</f>
        <v>6</v>
      </c>
      <c r="I25" s="11"/>
    </row>
    <row r="26" spans="2:13" ht="15" customHeight="1" thickBot="1" x14ac:dyDescent="0.25">
      <c r="B26" s="20" t="s">
        <v>29</v>
      </c>
      <c r="C26" s="21">
        <f>COUNTIF('11_P5_Roadmap'!P37:P57,"Green")</f>
        <v>1</v>
      </c>
      <c r="D26" s="22"/>
      <c r="E26" s="22"/>
      <c r="F26" s="22"/>
      <c r="G26" s="22"/>
      <c r="H26" s="22"/>
      <c r="I26" s="23"/>
    </row>
    <row r="27" spans="2:13" ht="16" thickBot="1" x14ac:dyDescent="0.25"/>
    <row r="28" spans="2:13" ht="15" customHeight="1" x14ac:dyDescent="0.2">
      <c r="B28" s="24" t="s">
        <v>30</v>
      </c>
      <c r="C28" s="25"/>
      <c r="D28" s="25"/>
      <c r="E28" s="25"/>
      <c r="F28" s="26"/>
    </row>
    <row r="29" spans="2:13" ht="15" customHeight="1" x14ac:dyDescent="0.2">
      <c r="B29" s="27" t="s">
        <v>31</v>
      </c>
      <c r="C29" s="105" t="s">
        <v>32</v>
      </c>
      <c r="D29" s="105"/>
      <c r="E29" s="105"/>
      <c r="F29" s="106"/>
    </row>
    <row r="30" spans="2:13" ht="15" customHeight="1" x14ac:dyDescent="0.2">
      <c r="B30" s="27" t="s">
        <v>33</v>
      </c>
      <c r="C30" s="113" t="s">
        <v>34</v>
      </c>
      <c r="D30" s="113"/>
      <c r="E30" s="113"/>
      <c r="F30" s="114"/>
    </row>
    <row r="31" spans="2:13" ht="15" customHeight="1" x14ac:dyDescent="0.2">
      <c r="B31" s="27" t="s">
        <v>35</v>
      </c>
      <c r="C31" s="113" t="s">
        <v>36</v>
      </c>
      <c r="D31" s="113"/>
      <c r="E31" s="113"/>
      <c r="F31" s="114"/>
    </row>
    <row r="32" spans="2:13" ht="15" customHeight="1" x14ac:dyDescent="0.2">
      <c r="B32" s="27" t="s">
        <v>37</v>
      </c>
      <c r="C32" s="105" t="s">
        <v>38</v>
      </c>
      <c r="D32" s="105"/>
      <c r="E32" s="105"/>
      <c r="F32" s="106"/>
    </row>
    <row r="33" spans="2:6" ht="15" customHeight="1" x14ac:dyDescent="0.2">
      <c r="B33" s="27" t="s">
        <v>39</v>
      </c>
      <c r="C33" s="105" t="s">
        <v>40</v>
      </c>
      <c r="D33" s="105"/>
      <c r="E33" s="105"/>
      <c r="F33" s="106"/>
    </row>
    <row r="34" spans="2:6" ht="15" customHeight="1" thickBot="1" x14ac:dyDescent="0.25">
      <c r="B34" s="29" t="s">
        <v>41</v>
      </c>
      <c r="C34" s="107" t="s">
        <v>42</v>
      </c>
      <c r="D34" s="107"/>
      <c r="E34" s="107"/>
      <c r="F34" s="108"/>
    </row>
  </sheetData>
  <sheetProtection sheet="1" objects="1" scenarios="1"/>
  <mergeCells count="14">
    <mergeCell ref="C18:I18"/>
    <mergeCell ref="A2:M2"/>
    <mergeCell ref="B7:I7"/>
    <mergeCell ref="K7:M7"/>
    <mergeCell ref="E13:I13"/>
    <mergeCell ref="B15:I15"/>
    <mergeCell ref="C33:F33"/>
    <mergeCell ref="C34:F34"/>
    <mergeCell ref="B20:I20"/>
    <mergeCell ref="K20:M20"/>
    <mergeCell ref="C29:F29"/>
    <mergeCell ref="C30:F30"/>
    <mergeCell ref="C31:F31"/>
    <mergeCell ref="C32:F32"/>
  </mergeCells>
  <conditionalFormatting sqref="E13">
    <cfRule type="cellIs" dxfId="54" priority="1" operator="equal">
      <formula>"Low"</formula>
    </cfRule>
    <cfRule type="cellIs" dxfId="53" priority="2" operator="equal">
      <formula>"Medium"</formula>
    </cfRule>
    <cfRule type="cellIs" dxfId="52" priority="3" operator="equal">
      <formula>"High"</formula>
    </cfRule>
  </conditionalFormatting>
  <pageMargins left="0.4" right="0.4" top="0.5" bottom="0.5" header="0.511811023622047" footer="0.511811023622047"/>
  <pageSetup paperSize="9"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3FCE-343C-9F40-A8E4-459E09291009}">
  <sheetPr>
    <pageSetUpPr fitToPage="1"/>
  </sheetPr>
  <dimension ref="A1:D36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3" style="2" customWidth="1"/>
    <col min="2" max="2" width="22" style="2" customWidth="1"/>
    <col min="3" max="3" width="50" style="2" customWidth="1"/>
    <col min="4" max="4" width="14" style="2" customWidth="1"/>
    <col min="5" max="16384" width="8.6640625" style="2"/>
  </cols>
  <sheetData>
    <row r="1" spans="1:4" ht="31.5" customHeight="1" x14ac:dyDescent="0.2">
      <c r="A1" s="139" t="s">
        <v>166</v>
      </c>
      <c r="B1" s="139"/>
      <c r="C1" s="139"/>
      <c r="D1" s="139"/>
    </row>
    <row r="2" spans="1:4" ht="16" thickBot="1" x14ac:dyDescent="0.25"/>
    <row r="3" spans="1:4" ht="15" customHeight="1" x14ac:dyDescent="0.2">
      <c r="B3" s="70" t="s">
        <v>85</v>
      </c>
      <c r="C3" s="69" t="s">
        <v>44</v>
      </c>
      <c r="D3" s="68" t="s">
        <v>165</v>
      </c>
    </row>
    <row r="4" spans="1:4" ht="26.25" customHeight="1" x14ac:dyDescent="0.2">
      <c r="B4" s="67" t="s">
        <v>164</v>
      </c>
      <c r="C4" s="28" t="s">
        <v>163</v>
      </c>
      <c r="D4" s="66" t="s">
        <v>162</v>
      </c>
    </row>
    <row r="5" spans="1:4" ht="30" customHeight="1" x14ac:dyDescent="0.2">
      <c r="B5" s="67" t="s">
        <v>161</v>
      </c>
      <c r="C5" s="28" t="s">
        <v>160</v>
      </c>
      <c r="D5" s="66">
        <v>5</v>
      </c>
    </row>
    <row r="6" spans="1:4" ht="30" customHeight="1" x14ac:dyDescent="0.2">
      <c r="B6" s="67" t="s">
        <v>159</v>
      </c>
      <c r="C6" s="28" t="s">
        <v>158</v>
      </c>
      <c r="D6" s="66" t="s">
        <v>157</v>
      </c>
    </row>
    <row r="7" spans="1:4" ht="26.25" customHeight="1" x14ac:dyDescent="0.2">
      <c r="B7" s="67" t="s">
        <v>156</v>
      </c>
      <c r="C7" s="28" t="s">
        <v>155</v>
      </c>
      <c r="D7" s="66" t="s">
        <v>154</v>
      </c>
    </row>
    <row r="8" spans="1:4" ht="67" customHeight="1" x14ac:dyDescent="0.2">
      <c r="B8" s="67" t="s">
        <v>153</v>
      </c>
      <c r="C8" s="28" t="s">
        <v>152</v>
      </c>
      <c r="D8" s="66">
        <v>10</v>
      </c>
    </row>
    <row r="9" spans="1:4" ht="26.25" customHeight="1" x14ac:dyDescent="0.2">
      <c r="B9" s="67" t="s">
        <v>151</v>
      </c>
      <c r="C9" s="28" t="s">
        <v>150</v>
      </c>
      <c r="D9" s="66">
        <v>11</v>
      </c>
    </row>
    <row r="10" spans="1:4" ht="30" customHeight="1" thickBot="1" x14ac:dyDescent="0.25">
      <c r="B10" s="65" t="s">
        <v>149</v>
      </c>
      <c r="C10" s="30" t="s">
        <v>148</v>
      </c>
      <c r="D10" s="64">
        <v>12</v>
      </c>
    </row>
    <row r="13" spans="1:4" ht="15.75" customHeight="1" x14ac:dyDescent="0.2">
      <c r="B13" s="63" t="s">
        <v>147</v>
      </c>
    </row>
    <row r="14" spans="1:4" ht="15" customHeight="1" x14ac:dyDescent="0.2">
      <c r="B14" s="134" t="s">
        <v>146</v>
      </c>
      <c r="C14" s="134"/>
      <c r="D14" s="134"/>
    </row>
    <row r="15" spans="1:4" ht="15" customHeight="1" x14ac:dyDescent="0.2">
      <c r="B15" s="134" t="s">
        <v>145</v>
      </c>
      <c r="C15" s="134"/>
      <c r="D15" s="134"/>
    </row>
    <row r="16" spans="1:4" ht="15" customHeight="1" x14ac:dyDescent="0.2">
      <c r="B16" s="134" t="s">
        <v>144</v>
      </c>
      <c r="C16" s="134"/>
      <c r="D16" s="134"/>
    </row>
    <row r="17" spans="2:4" ht="15" customHeight="1" x14ac:dyDescent="0.2">
      <c r="B17" s="134" t="s">
        <v>143</v>
      </c>
      <c r="C17" s="134"/>
      <c r="D17" s="134"/>
    </row>
    <row r="18" spans="2:4" ht="15" customHeight="1" x14ac:dyDescent="0.2">
      <c r="B18" s="134" t="s">
        <v>142</v>
      </c>
      <c r="C18" s="134"/>
      <c r="D18" s="134"/>
    </row>
    <row r="20" spans="2:4" ht="16.5" customHeight="1" x14ac:dyDescent="0.2">
      <c r="B20" s="62" t="s">
        <v>141</v>
      </c>
    </row>
    <row r="21" spans="2:4" ht="38" customHeight="1" thickBot="1" x14ac:dyDescent="0.25">
      <c r="B21" s="61" t="s">
        <v>140</v>
      </c>
    </row>
    <row r="22" spans="2:4" ht="15" customHeight="1" x14ac:dyDescent="0.2">
      <c r="B22" s="136" t="s">
        <v>139</v>
      </c>
      <c r="C22" s="137"/>
      <c r="D22" s="138"/>
    </row>
    <row r="23" spans="2:4" ht="56" customHeight="1" x14ac:dyDescent="0.2">
      <c r="B23" s="60" t="s">
        <v>138</v>
      </c>
      <c r="C23" s="134" t="s">
        <v>137</v>
      </c>
      <c r="D23" s="135"/>
    </row>
    <row r="24" spans="2:4" ht="54" customHeight="1" x14ac:dyDescent="0.2">
      <c r="B24" s="60" t="s">
        <v>136</v>
      </c>
      <c r="C24" s="134" t="s">
        <v>135</v>
      </c>
      <c r="D24" s="135"/>
    </row>
    <row r="25" spans="2:4" ht="61" customHeight="1" thickBot="1" x14ac:dyDescent="0.25">
      <c r="B25" s="58" t="s">
        <v>134</v>
      </c>
      <c r="C25" s="128" t="s">
        <v>133</v>
      </c>
      <c r="D25" s="129"/>
    </row>
    <row r="26" spans="2:4" ht="16" thickBot="1" x14ac:dyDescent="0.25"/>
    <row r="27" spans="2:4" ht="15" customHeight="1" x14ac:dyDescent="0.2">
      <c r="B27" s="131" t="s">
        <v>132</v>
      </c>
      <c r="C27" s="132"/>
      <c r="D27" s="133"/>
    </row>
    <row r="28" spans="2:4" ht="31.5" customHeight="1" x14ac:dyDescent="0.2">
      <c r="B28" s="60" t="s">
        <v>131</v>
      </c>
      <c r="C28" s="134" t="s">
        <v>130</v>
      </c>
      <c r="D28" s="135"/>
    </row>
    <row r="29" spans="2:4" ht="31.5" customHeight="1" x14ac:dyDescent="0.2">
      <c r="B29" s="60" t="s">
        <v>129</v>
      </c>
      <c r="C29" s="134" t="s">
        <v>128</v>
      </c>
      <c r="D29" s="135"/>
    </row>
    <row r="30" spans="2:4" ht="31.5" customHeight="1" x14ac:dyDescent="0.2">
      <c r="B30" s="60" t="s">
        <v>127</v>
      </c>
      <c r="C30" s="134" t="s">
        <v>126</v>
      </c>
      <c r="D30" s="135"/>
    </row>
    <row r="31" spans="2:4" ht="31.5" customHeight="1" x14ac:dyDescent="0.2">
      <c r="B31" s="60" t="s">
        <v>125</v>
      </c>
      <c r="C31" s="134" t="s">
        <v>124</v>
      </c>
      <c r="D31" s="135"/>
    </row>
    <row r="32" spans="2:4" ht="31.5" customHeight="1" x14ac:dyDescent="0.2">
      <c r="B32" s="60" t="s">
        <v>123</v>
      </c>
      <c r="C32" s="134" t="s">
        <v>122</v>
      </c>
      <c r="D32" s="135"/>
    </row>
    <row r="33" spans="2:4" ht="31.5" customHeight="1" x14ac:dyDescent="0.2">
      <c r="B33" s="60" t="s">
        <v>121</v>
      </c>
      <c r="C33" s="134" t="s">
        <v>120</v>
      </c>
      <c r="D33" s="135"/>
    </row>
    <row r="34" spans="2:4" ht="31.5" customHeight="1" thickBot="1" x14ac:dyDescent="0.25">
      <c r="B34" s="58" t="s">
        <v>119</v>
      </c>
      <c r="C34" s="128" t="s">
        <v>118</v>
      </c>
      <c r="D34" s="129"/>
    </row>
    <row r="36" spans="2:4" ht="60" customHeight="1" x14ac:dyDescent="0.2">
      <c r="B36" s="130" t="s">
        <v>117</v>
      </c>
      <c r="C36" s="130"/>
      <c r="D36" s="130"/>
    </row>
  </sheetData>
  <mergeCells count="19">
    <mergeCell ref="B18:D18"/>
    <mergeCell ref="A1:D1"/>
    <mergeCell ref="B14:D14"/>
    <mergeCell ref="B15:D15"/>
    <mergeCell ref="B16:D16"/>
    <mergeCell ref="B17:D17"/>
    <mergeCell ref="B22:D22"/>
    <mergeCell ref="C23:D23"/>
    <mergeCell ref="C24:D24"/>
    <mergeCell ref="C25:D25"/>
    <mergeCell ref="C32:D32"/>
    <mergeCell ref="C34:D34"/>
    <mergeCell ref="B36:D36"/>
    <mergeCell ref="B27:D27"/>
    <mergeCell ref="C28:D28"/>
    <mergeCell ref="C29:D29"/>
    <mergeCell ref="C30:D30"/>
    <mergeCell ref="C31:D31"/>
    <mergeCell ref="C33:D33"/>
  </mergeCells>
  <pageMargins left="0.4" right="0.4" top="0.5" bottom="0.5" header="0.511811023622047" footer="0.511811023622047"/>
  <pageSetup paperSize="9"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F89A1-E033-3848-9087-C18A085A34AC}">
  <sheetPr>
    <pageSetUpPr fitToPage="1"/>
  </sheetPr>
  <dimension ref="A1:H37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16.33203125" style="2" customWidth="1"/>
    <col min="2" max="2" width="22" style="2" customWidth="1"/>
    <col min="3" max="3" width="38" style="2" customWidth="1"/>
    <col min="4" max="4" width="14" style="2" customWidth="1"/>
    <col min="5" max="8" width="10" style="2" customWidth="1"/>
    <col min="9" max="16384" width="8.6640625" style="2"/>
  </cols>
  <sheetData>
    <row r="1" spans="1:8" ht="31.5" customHeight="1" x14ac:dyDescent="0.2">
      <c r="A1" s="143" t="s">
        <v>207</v>
      </c>
      <c r="B1" s="143"/>
      <c r="C1" s="143"/>
      <c r="D1" s="143"/>
      <c r="E1" s="143"/>
      <c r="F1" s="143"/>
      <c r="G1" s="143"/>
      <c r="H1" s="143"/>
    </row>
    <row r="2" spans="1:8" ht="21.75" customHeight="1" x14ac:dyDescent="0.2">
      <c r="A2" s="31" t="s">
        <v>44</v>
      </c>
      <c r="B2" s="144" t="s">
        <v>206</v>
      </c>
      <c r="C2" s="144"/>
      <c r="D2" s="144"/>
      <c r="E2" s="144"/>
      <c r="F2" s="144"/>
      <c r="G2" s="144"/>
      <c r="H2" s="144"/>
    </row>
    <row r="3" spans="1:8" ht="21.75" customHeight="1" x14ac:dyDescent="0.2">
      <c r="A3" s="31" t="s">
        <v>46</v>
      </c>
      <c r="B3" s="144" t="s">
        <v>205</v>
      </c>
      <c r="C3" s="144"/>
      <c r="D3" s="144"/>
      <c r="E3" s="144"/>
      <c r="F3" s="144"/>
      <c r="G3" s="144"/>
      <c r="H3" s="144"/>
    </row>
    <row r="4" spans="1:8" ht="21.75" customHeight="1" x14ac:dyDescent="0.2">
      <c r="A4" s="31" t="s">
        <v>48</v>
      </c>
      <c r="B4" s="144" t="s">
        <v>204</v>
      </c>
      <c r="C4" s="144"/>
      <c r="D4" s="144"/>
      <c r="E4" s="144"/>
      <c r="F4" s="144"/>
      <c r="G4" s="144"/>
      <c r="H4" s="144"/>
    </row>
    <row r="5" spans="1:8" ht="21.75" customHeight="1" x14ac:dyDescent="0.2">
      <c r="A5" s="31" t="s">
        <v>50</v>
      </c>
      <c r="B5" s="144" t="s">
        <v>203</v>
      </c>
      <c r="C5" s="144"/>
      <c r="D5" s="144"/>
      <c r="E5" s="144"/>
      <c r="F5" s="144"/>
      <c r="G5" s="144"/>
      <c r="H5" s="144"/>
    </row>
    <row r="6" spans="1:8" ht="79.5" customHeight="1" x14ac:dyDescent="0.2">
      <c r="A6" s="32" t="s">
        <v>52</v>
      </c>
      <c r="B6" s="33" t="s">
        <v>53</v>
      </c>
      <c r="C6" s="145" t="s">
        <v>54</v>
      </c>
      <c r="D6" s="145"/>
      <c r="E6" s="146" t="s">
        <v>55</v>
      </c>
      <c r="F6" s="146"/>
      <c r="G6" s="32" t="s">
        <v>56</v>
      </c>
      <c r="H6" s="75" t="s">
        <v>55</v>
      </c>
    </row>
    <row r="7" spans="1:8" ht="7.5" customHeight="1" x14ac:dyDescent="0.2"/>
    <row r="8" spans="1:8" ht="15" customHeight="1" x14ac:dyDescent="0.2">
      <c r="A8" s="140" t="s">
        <v>202</v>
      </c>
      <c r="B8" s="140"/>
      <c r="C8" s="140"/>
      <c r="D8" s="140"/>
      <c r="E8" s="140"/>
      <c r="F8" s="140"/>
      <c r="G8" s="140"/>
      <c r="H8" s="140"/>
    </row>
    <row r="9" spans="1:8" ht="30" customHeight="1" x14ac:dyDescent="0.2">
      <c r="B9" s="55" t="s">
        <v>201</v>
      </c>
      <c r="C9" s="55" t="s">
        <v>21</v>
      </c>
      <c r="D9" s="55" t="s">
        <v>200</v>
      </c>
      <c r="E9" s="55" t="s">
        <v>199</v>
      </c>
      <c r="F9" s="55" t="s">
        <v>198</v>
      </c>
      <c r="G9" s="55" t="s">
        <v>197</v>
      </c>
      <c r="H9" s="55" t="s">
        <v>196</v>
      </c>
    </row>
    <row r="10" spans="1:8" ht="27.75" customHeight="1" x14ac:dyDescent="0.2">
      <c r="B10" s="77" t="s">
        <v>11</v>
      </c>
      <c r="C10" s="59" t="s">
        <v>195</v>
      </c>
      <c r="D10" s="75" t="s">
        <v>55</v>
      </c>
      <c r="E10" s="39">
        <v>4</v>
      </c>
      <c r="F10" s="39">
        <v>1</v>
      </c>
      <c r="G10" s="74">
        <f t="shared" ref="G10:G34" si="0">E10*F10</f>
        <v>4</v>
      </c>
      <c r="H10" s="142">
        <f>AVERAGE(G10:G14)/AVERAGE(F10:F14)</f>
        <v>3.8</v>
      </c>
    </row>
    <row r="11" spans="1:8" ht="27.75" customHeight="1" x14ac:dyDescent="0.2">
      <c r="B11" s="76" t="s">
        <v>11</v>
      </c>
      <c r="C11" s="59" t="s">
        <v>194</v>
      </c>
      <c r="D11" s="75" t="s">
        <v>55</v>
      </c>
      <c r="E11" s="39">
        <v>4</v>
      </c>
      <c r="F11" s="39">
        <v>1</v>
      </c>
      <c r="G11" s="74">
        <f t="shared" si="0"/>
        <v>4</v>
      </c>
      <c r="H11" s="142"/>
    </row>
    <row r="12" spans="1:8" ht="27.75" customHeight="1" x14ac:dyDescent="0.2">
      <c r="B12" s="76" t="s">
        <v>11</v>
      </c>
      <c r="C12" s="59" t="s">
        <v>193</v>
      </c>
      <c r="D12" s="75" t="s">
        <v>55</v>
      </c>
      <c r="E12" s="39">
        <v>4</v>
      </c>
      <c r="F12" s="39">
        <v>1</v>
      </c>
      <c r="G12" s="74">
        <f t="shared" si="0"/>
        <v>4</v>
      </c>
      <c r="H12" s="142"/>
    </row>
    <row r="13" spans="1:8" ht="27.75" customHeight="1" x14ac:dyDescent="0.2">
      <c r="B13" s="76" t="s">
        <v>11</v>
      </c>
      <c r="C13" s="59" t="s">
        <v>192</v>
      </c>
      <c r="D13" s="75" t="s">
        <v>55</v>
      </c>
      <c r="E13" s="39">
        <v>3</v>
      </c>
      <c r="F13" s="39">
        <v>1</v>
      </c>
      <c r="G13" s="74">
        <f t="shared" si="0"/>
        <v>3</v>
      </c>
      <c r="H13" s="142"/>
    </row>
    <row r="14" spans="1:8" ht="25" customHeight="1" x14ac:dyDescent="0.2">
      <c r="B14" s="76" t="s">
        <v>11</v>
      </c>
      <c r="C14" s="59" t="s">
        <v>191</v>
      </c>
      <c r="D14" s="75" t="s">
        <v>55</v>
      </c>
      <c r="E14" s="39">
        <v>4</v>
      </c>
      <c r="F14" s="39">
        <v>1</v>
      </c>
      <c r="G14" s="74">
        <f t="shared" si="0"/>
        <v>4</v>
      </c>
      <c r="H14" s="142"/>
    </row>
    <row r="15" spans="1:8" ht="27.75" customHeight="1" x14ac:dyDescent="0.2">
      <c r="B15" s="77" t="s">
        <v>12</v>
      </c>
      <c r="C15" s="59" t="s">
        <v>190</v>
      </c>
      <c r="D15" s="75" t="s">
        <v>55</v>
      </c>
      <c r="E15" s="39">
        <v>4</v>
      </c>
      <c r="F15" s="39">
        <v>1</v>
      </c>
      <c r="G15" s="74">
        <f t="shared" si="0"/>
        <v>4</v>
      </c>
      <c r="H15" s="142">
        <f>AVERAGE(G15:G19)/AVERAGE(F15:F19)</f>
        <v>3.8</v>
      </c>
    </row>
    <row r="16" spans="1:8" ht="27.75" customHeight="1" x14ac:dyDescent="0.2">
      <c r="B16" s="76" t="s">
        <v>12</v>
      </c>
      <c r="C16" s="59" t="s">
        <v>189</v>
      </c>
      <c r="D16" s="75" t="s">
        <v>55</v>
      </c>
      <c r="E16" s="39">
        <v>3</v>
      </c>
      <c r="F16" s="39">
        <v>1</v>
      </c>
      <c r="G16" s="74">
        <f t="shared" si="0"/>
        <v>3</v>
      </c>
      <c r="H16" s="142"/>
    </row>
    <row r="17" spans="2:8" ht="15" customHeight="1" x14ac:dyDescent="0.2">
      <c r="B17" s="76" t="s">
        <v>12</v>
      </c>
      <c r="C17" s="59" t="s">
        <v>188</v>
      </c>
      <c r="D17" s="75" t="s">
        <v>55</v>
      </c>
      <c r="E17" s="39">
        <v>4</v>
      </c>
      <c r="F17" s="39">
        <v>1</v>
      </c>
      <c r="G17" s="74">
        <f t="shared" si="0"/>
        <v>4</v>
      </c>
      <c r="H17" s="142"/>
    </row>
    <row r="18" spans="2:8" ht="27.75" customHeight="1" x14ac:dyDescent="0.2">
      <c r="B18" s="76" t="s">
        <v>12</v>
      </c>
      <c r="C18" s="59" t="s">
        <v>187</v>
      </c>
      <c r="D18" s="75" t="s">
        <v>55</v>
      </c>
      <c r="E18" s="39">
        <v>4</v>
      </c>
      <c r="F18" s="39">
        <v>1</v>
      </c>
      <c r="G18" s="74">
        <f t="shared" si="0"/>
        <v>4</v>
      </c>
      <c r="H18" s="142"/>
    </row>
    <row r="19" spans="2:8" ht="27.75" customHeight="1" x14ac:dyDescent="0.2">
      <c r="B19" s="76" t="s">
        <v>12</v>
      </c>
      <c r="C19" s="59" t="s">
        <v>186</v>
      </c>
      <c r="D19" s="75" t="s">
        <v>55</v>
      </c>
      <c r="E19" s="39">
        <v>4</v>
      </c>
      <c r="F19" s="39">
        <v>1</v>
      </c>
      <c r="G19" s="74">
        <f t="shared" si="0"/>
        <v>4</v>
      </c>
      <c r="H19" s="142"/>
    </row>
    <row r="20" spans="2:8" ht="27.75" customHeight="1" x14ac:dyDescent="0.2">
      <c r="B20" s="77" t="s">
        <v>13</v>
      </c>
      <c r="C20" s="59" t="s">
        <v>185</v>
      </c>
      <c r="D20" s="75" t="s">
        <v>55</v>
      </c>
      <c r="E20" s="39">
        <v>4</v>
      </c>
      <c r="F20" s="39">
        <v>1</v>
      </c>
      <c r="G20" s="74">
        <f t="shared" si="0"/>
        <v>4</v>
      </c>
      <c r="H20" s="142">
        <f>AVERAGE(G20:G24)/AVERAGE(F20:F24)</f>
        <v>3.8</v>
      </c>
    </row>
    <row r="21" spans="2:8" ht="27.75" customHeight="1" x14ac:dyDescent="0.2">
      <c r="B21" s="76" t="s">
        <v>13</v>
      </c>
      <c r="C21" s="59" t="s">
        <v>184</v>
      </c>
      <c r="D21" s="75" t="s">
        <v>55</v>
      </c>
      <c r="E21" s="39">
        <v>4</v>
      </c>
      <c r="F21" s="39">
        <v>1</v>
      </c>
      <c r="G21" s="74">
        <f t="shared" si="0"/>
        <v>4</v>
      </c>
      <c r="H21" s="142"/>
    </row>
    <row r="22" spans="2:8" ht="27.75" customHeight="1" x14ac:dyDescent="0.2">
      <c r="B22" s="76" t="s">
        <v>13</v>
      </c>
      <c r="C22" s="59" t="s">
        <v>183</v>
      </c>
      <c r="D22" s="75" t="s">
        <v>55</v>
      </c>
      <c r="E22" s="39">
        <v>4</v>
      </c>
      <c r="F22" s="39">
        <v>1</v>
      </c>
      <c r="G22" s="74">
        <f t="shared" si="0"/>
        <v>4</v>
      </c>
      <c r="H22" s="142"/>
    </row>
    <row r="23" spans="2:8" ht="27.75" customHeight="1" x14ac:dyDescent="0.2">
      <c r="B23" s="76" t="s">
        <v>13</v>
      </c>
      <c r="C23" s="59" t="s">
        <v>182</v>
      </c>
      <c r="D23" s="75" t="s">
        <v>55</v>
      </c>
      <c r="E23" s="39">
        <v>4</v>
      </c>
      <c r="F23" s="39">
        <v>1</v>
      </c>
      <c r="G23" s="74">
        <f t="shared" si="0"/>
        <v>4</v>
      </c>
      <c r="H23" s="142"/>
    </row>
    <row r="24" spans="2:8" ht="27.75" customHeight="1" x14ac:dyDescent="0.2">
      <c r="B24" s="76" t="s">
        <v>13</v>
      </c>
      <c r="C24" s="59" t="s">
        <v>181</v>
      </c>
      <c r="D24" s="75" t="s">
        <v>55</v>
      </c>
      <c r="E24" s="39">
        <v>3</v>
      </c>
      <c r="F24" s="39">
        <v>1</v>
      </c>
      <c r="G24" s="74">
        <f t="shared" si="0"/>
        <v>3</v>
      </c>
      <c r="H24" s="142"/>
    </row>
    <row r="25" spans="2:8" ht="27.75" customHeight="1" x14ac:dyDescent="0.2">
      <c r="B25" s="77" t="s">
        <v>14</v>
      </c>
      <c r="C25" s="59" t="s">
        <v>180</v>
      </c>
      <c r="D25" s="75" t="s">
        <v>55</v>
      </c>
      <c r="E25" s="39">
        <v>5</v>
      </c>
      <c r="F25" s="39">
        <v>1</v>
      </c>
      <c r="G25" s="74">
        <f t="shared" si="0"/>
        <v>5</v>
      </c>
      <c r="H25" s="142">
        <f>AVERAGE(G25:G29)/AVERAGE(F25:F29)</f>
        <v>4.4000000000000004</v>
      </c>
    </row>
    <row r="26" spans="2:8" ht="27.75" customHeight="1" x14ac:dyDescent="0.2">
      <c r="B26" s="76" t="s">
        <v>14</v>
      </c>
      <c r="C26" s="59" t="s">
        <v>179</v>
      </c>
      <c r="D26" s="75" t="s">
        <v>55</v>
      </c>
      <c r="E26" s="39">
        <v>4</v>
      </c>
      <c r="F26" s="39">
        <v>1</v>
      </c>
      <c r="G26" s="74">
        <f t="shared" si="0"/>
        <v>4</v>
      </c>
      <c r="H26" s="142"/>
    </row>
    <row r="27" spans="2:8" ht="27.75" customHeight="1" x14ac:dyDescent="0.2">
      <c r="B27" s="76" t="s">
        <v>14</v>
      </c>
      <c r="C27" s="59" t="s">
        <v>178</v>
      </c>
      <c r="D27" s="75" t="s">
        <v>55</v>
      </c>
      <c r="E27" s="39">
        <v>4</v>
      </c>
      <c r="F27" s="39">
        <v>1</v>
      </c>
      <c r="G27" s="74">
        <f t="shared" si="0"/>
        <v>4</v>
      </c>
      <c r="H27" s="142"/>
    </row>
    <row r="28" spans="2:8" ht="27.75" customHeight="1" x14ac:dyDescent="0.2">
      <c r="B28" s="76" t="s">
        <v>14</v>
      </c>
      <c r="C28" s="59" t="s">
        <v>177</v>
      </c>
      <c r="D28" s="75" t="s">
        <v>55</v>
      </c>
      <c r="E28" s="39">
        <v>5</v>
      </c>
      <c r="F28" s="39">
        <v>1</v>
      </c>
      <c r="G28" s="74">
        <f t="shared" si="0"/>
        <v>5</v>
      </c>
      <c r="H28" s="142"/>
    </row>
    <row r="29" spans="2:8" ht="15" customHeight="1" x14ac:dyDescent="0.2">
      <c r="B29" s="76" t="s">
        <v>14</v>
      </c>
      <c r="C29" s="59" t="s">
        <v>176</v>
      </c>
      <c r="D29" s="75" t="s">
        <v>55</v>
      </c>
      <c r="E29" s="39">
        <v>4</v>
      </c>
      <c r="F29" s="39">
        <v>1</v>
      </c>
      <c r="G29" s="74">
        <f t="shared" si="0"/>
        <v>4</v>
      </c>
      <c r="H29" s="142"/>
    </row>
    <row r="30" spans="2:8" ht="15" customHeight="1" x14ac:dyDescent="0.2">
      <c r="B30" s="77" t="s">
        <v>82</v>
      </c>
      <c r="C30" s="59" t="s">
        <v>175</v>
      </c>
      <c r="D30" s="75" t="s">
        <v>55</v>
      </c>
      <c r="E30" s="39">
        <v>5</v>
      </c>
      <c r="F30" s="39">
        <v>1</v>
      </c>
      <c r="G30" s="74">
        <f t="shared" si="0"/>
        <v>5</v>
      </c>
      <c r="H30" s="142">
        <f>AVERAGE(G30:G34)/AVERAGE(F30:F34)</f>
        <v>3.6</v>
      </c>
    </row>
    <row r="31" spans="2:8" ht="27.75" customHeight="1" x14ac:dyDescent="0.2">
      <c r="B31" s="76" t="s">
        <v>82</v>
      </c>
      <c r="C31" s="59" t="s">
        <v>174</v>
      </c>
      <c r="D31" s="75" t="s">
        <v>55</v>
      </c>
      <c r="E31" s="39">
        <v>4</v>
      </c>
      <c r="F31" s="39">
        <v>1</v>
      </c>
      <c r="G31" s="74">
        <f t="shared" si="0"/>
        <v>4</v>
      </c>
      <c r="H31" s="142"/>
    </row>
    <row r="32" spans="2:8" ht="27.75" customHeight="1" x14ac:dyDescent="0.2">
      <c r="B32" s="76" t="s">
        <v>82</v>
      </c>
      <c r="C32" s="59" t="s">
        <v>173</v>
      </c>
      <c r="D32" s="75" t="s">
        <v>55</v>
      </c>
      <c r="E32" s="39">
        <v>3</v>
      </c>
      <c r="F32" s="39">
        <v>1</v>
      </c>
      <c r="G32" s="74">
        <f t="shared" si="0"/>
        <v>3</v>
      </c>
      <c r="H32" s="142"/>
    </row>
    <row r="33" spans="1:8" ht="15" customHeight="1" x14ac:dyDescent="0.2">
      <c r="B33" s="76" t="s">
        <v>82</v>
      </c>
      <c r="C33" s="59" t="s">
        <v>172</v>
      </c>
      <c r="D33" s="75" t="s">
        <v>55</v>
      </c>
      <c r="E33" s="39">
        <v>3</v>
      </c>
      <c r="F33" s="39">
        <v>1</v>
      </c>
      <c r="G33" s="74">
        <f t="shared" si="0"/>
        <v>3</v>
      </c>
      <c r="H33" s="142"/>
    </row>
    <row r="34" spans="1:8" ht="27.75" customHeight="1" x14ac:dyDescent="0.2">
      <c r="B34" s="76" t="s">
        <v>82</v>
      </c>
      <c r="C34" s="59" t="s">
        <v>171</v>
      </c>
      <c r="D34" s="75" t="s">
        <v>55</v>
      </c>
      <c r="E34" s="39">
        <v>3</v>
      </c>
      <c r="F34" s="39">
        <v>1</v>
      </c>
      <c r="G34" s="74">
        <f t="shared" si="0"/>
        <v>3</v>
      </c>
      <c r="H34" s="142"/>
    </row>
    <row r="36" spans="1:8" ht="15" customHeight="1" x14ac:dyDescent="0.2">
      <c r="A36" s="140" t="s">
        <v>170</v>
      </c>
      <c r="B36" s="140"/>
      <c r="C36" s="140"/>
      <c r="D36" s="140"/>
      <c r="E36" s="140"/>
      <c r="F36" s="140"/>
      <c r="G36" s="140"/>
      <c r="H36" s="140"/>
    </row>
    <row r="37" spans="1:8" ht="60" customHeight="1" x14ac:dyDescent="0.2">
      <c r="B37" s="55" t="s">
        <v>169</v>
      </c>
      <c r="C37" s="72">
        <f>AVERAGE(H10,H15,H20,H25,H30)</f>
        <v>3.88</v>
      </c>
      <c r="D37" s="55" t="s">
        <v>168</v>
      </c>
      <c r="E37" s="71" t="str">
        <f>IF(C37&lt;2,"Low",IF(C37&lt;=3.5,"Medium","High"))</f>
        <v>High</v>
      </c>
      <c r="F37" s="55" t="s">
        <v>167</v>
      </c>
      <c r="G37" s="141" t="str">
        <f>IF(C37&lt;2,"A only",IF(C37&lt;=3.5,"A or B","B or C"))</f>
        <v>B or C</v>
      </c>
      <c r="H37" s="141"/>
    </row>
  </sheetData>
  <mergeCells count="15">
    <mergeCell ref="C6:D6"/>
    <mergeCell ref="E6:F6"/>
    <mergeCell ref="A1:H1"/>
    <mergeCell ref="B2:H2"/>
    <mergeCell ref="B3:H3"/>
    <mergeCell ref="B4:H4"/>
    <mergeCell ref="B5:H5"/>
    <mergeCell ref="A36:H36"/>
    <mergeCell ref="G37:H37"/>
    <mergeCell ref="A8:H8"/>
    <mergeCell ref="H10:H14"/>
    <mergeCell ref="H15:H19"/>
    <mergeCell ref="H20:H24"/>
    <mergeCell ref="H25:H29"/>
    <mergeCell ref="H30:H34"/>
  </mergeCells>
  <conditionalFormatting sqref="B6">
    <cfRule type="cellIs" dxfId="51" priority="1" operator="equal">
      <formula>"Signed off"</formula>
    </cfRule>
    <cfRule type="cellIs" dxfId="50" priority="2" operator="equal">
      <formula>"In review"</formula>
    </cfRule>
  </conditionalFormatting>
  <conditionalFormatting sqref="E37">
    <cfRule type="cellIs" dxfId="49" priority="3" operator="equal">
      <formula>"Low"</formula>
    </cfRule>
    <cfRule type="cellIs" dxfId="48" priority="4" operator="equal">
      <formula>"Medium"</formula>
    </cfRule>
    <cfRule type="cellIs" dxfId="47" priority="5" operator="equal">
      <formula>"High"</formula>
    </cfRule>
  </conditionalFormatting>
  <conditionalFormatting sqref="H10:H34">
    <cfRule type="colorScale" priority="6">
      <colorScale>
        <cfvo type="num" val="1"/>
        <cfvo type="num" val="3"/>
        <cfvo type="num" val="5"/>
        <color rgb="FFFFC7CE"/>
        <color rgb="FFFFEB9C"/>
        <color rgb="FFC6EFCE"/>
      </colorScale>
    </cfRule>
  </conditionalFormatting>
  <dataValidations count="3">
    <dataValidation type="list" errorTitle="Invalid weight" error="Weight must be 1, 2, or 3" sqref="F10:F34" xr:uid="{00000000-0002-0000-0200-000003000000}">
      <formula1>"1,2,3"</formula1>
      <formula2>0</formula2>
    </dataValidation>
    <dataValidation type="list" errorTitle="Invalid score" error="Score must be 1–5" sqref="E10:E34" xr:uid="{00000000-0002-0000-0200-000002000000}">
      <formula1>"1,2,3,4,5"</formula1>
      <formula2>0</formula2>
    </dataValidation>
    <dataValidation type="list" sqref="B6" xr:uid="{00000000-0002-0000-0200-000000000000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BF28-A879-1B46-8901-C8A75AF26B5B}">
  <sheetPr>
    <pageSetUpPr fitToPage="1"/>
  </sheetPr>
  <dimension ref="A1:K38"/>
  <sheetViews>
    <sheetView zoomScaleNormal="100" workbookViewId="0">
      <selection activeCell="H11" sqref="H11"/>
    </sheetView>
  </sheetViews>
  <sheetFormatPr baseColWidth="10" defaultColWidth="8.6640625" defaultRowHeight="15" x14ac:dyDescent="0.2"/>
  <cols>
    <col min="1" max="1" width="17.5" style="2" customWidth="1"/>
    <col min="2" max="2" width="26" style="2" customWidth="1"/>
    <col min="3" max="3" width="36" style="2" customWidth="1"/>
    <col min="4" max="4" width="12.33203125" style="2" customWidth="1"/>
    <col min="5" max="5" width="17.83203125" style="2" customWidth="1"/>
    <col min="6" max="6" width="15" style="2" customWidth="1"/>
    <col min="7" max="7" width="16.5" style="2" customWidth="1"/>
    <col min="8" max="8" width="12.5" style="2" customWidth="1"/>
    <col min="9" max="9" width="10" style="2" customWidth="1"/>
    <col min="10" max="10" width="11" style="2" customWidth="1"/>
    <col min="11" max="11" width="13.1640625" style="2" customWidth="1"/>
    <col min="12" max="16384" width="8.6640625" style="2"/>
  </cols>
  <sheetData>
    <row r="1" spans="1:11" ht="31.5" customHeight="1" x14ac:dyDescent="0.2">
      <c r="A1" s="143" t="s">
        <v>43</v>
      </c>
      <c r="B1" s="143"/>
      <c r="C1" s="143"/>
      <c r="D1" s="143"/>
      <c r="E1" s="143"/>
      <c r="F1" s="143"/>
      <c r="G1" s="143"/>
      <c r="H1" s="143"/>
    </row>
    <row r="2" spans="1:11" ht="21.75" customHeight="1" x14ac:dyDescent="0.2">
      <c r="A2" s="31" t="s">
        <v>44</v>
      </c>
      <c r="B2" s="144" t="s">
        <v>45</v>
      </c>
      <c r="C2" s="144"/>
      <c r="D2" s="144"/>
      <c r="E2" s="144"/>
      <c r="F2" s="144"/>
      <c r="G2" s="144"/>
      <c r="H2" s="144"/>
    </row>
    <row r="3" spans="1:11" ht="21.75" customHeight="1" x14ac:dyDescent="0.2">
      <c r="A3" s="31" t="s">
        <v>46</v>
      </c>
      <c r="B3" s="144" t="s">
        <v>47</v>
      </c>
      <c r="C3" s="144"/>
      <c r="D3" s="144"/>
      <c r="E3" s="144"/>
      <c r="F3" s="144"/>
      <c r="G3" s="144"/>
      <c r="H3" s="144"/>
    </row>
    <row r="4" spans="1:11" ht="21.75" customHeight="1" x14ac:dyDescent="0.2">
      <c r="A4" s="31" t="s">
        <v>48</v>
      </c>
      <c r="B4" s="144" t="s">
        <v>49</v>
      </c>
      <c r="C4" s="144"/>
      <c r="D4" s="144"/>
      <c r="E4" s="144"/>
      <c r="F4" s="144"/>
      <c r="G4" s="144"/>
      <c r="H4" s="144"/>
    </row>
    <row r="5" spans="1:11" ht="21.75" customHeight="1" x14ac:dyDescent="0.2">
      <c r="A5" s="31" t="s">
        <v>50</v>
      </c>
      <c r="B5" s="144" t="s">
        <v>51</v>
      </c>
      <c r="C5" s="144"/>
      <c r="D5" s="144"/>
      <c r="E5" s="144"/>
      <c r="F5" s="144"/>
      <c r="G5" s="144"/>
      <c r="H5" s="144"/>
    </row>
    <row r="6" spans="1:11" ht="79.5" customHeight="1" x14ac:dyDescent="0.2">
      <c r="A6" s="32" t="s">
        <v>52</v>
      </c>
      <c r="B6" s="33" t="s">
        <v>53</v>
      </c>
      <c r="C6" s="145" t="s">
        <v>54</v>
      </c>
      <c r="D6" s="145"/>
      <c r="E6" s="146" t="s">
        <v>55</v>
      </c>
      <c r="F6" s="146"/>
      <c r="G6" s="32" t="s">
        <v>56</v>
      </c>
      <c r="H6" s="34" t="s">
        <v>55</v>
      </c>
    </row>
    <row r="7" spans="1:11" ht="7.5" customHeight="1" x14ac:dyDescent="0.2"/>
    <row r="8" spans="1:11" ht="15" customHeight="1" x14ac:dyDescent="0.2">
      <c r="A8" s="140" t="s">
        <v>57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</row>
    <row r="9" spans="1:11" ht="30" customHeight="1" x14ac:dyDescent="0.2">
      <c r="B9" s="35" t="s">
        <v>58</v>
      </c>
      <c r="C9" s="36" t="s">
        <v>59</v>
      </c>
      <c r="D9" s="36" t="s">
        <v>60</v>
      </c>
      <c r="E9" s="36" t="s">
        <v>61</v>
      </c>
      <c r="F9" s="36" t="s">
        <v>62</v>
      </c>
      <c r="G9" s="36" t="s">
        <v>63</v>
      </c>
      <c r="H9" s="37" t="s">
        <v>64</v>
      </c>
    </row>
    <row r="10" spans="1:11" ht="45" customHeight="1" x14ac:dyDescent="0.2">
      <c r="B10" s="38" t="s">
        <v>65</v>
      </c>
      <c r="C10" s="28" t="s">
        <v>55</v>
      </c>
      <c r="D10" s="28" t="s">
        <v>66</v>
      </c>
      <c r="E10" s="39" t="s">
        <v>67</v>
      </c>
      <c r="F10" s="39">
        <v>5</v>
      </c>
      <c r="G10" s="39">
        <v>5</v>
      </c>
      <c r="H10" s="40">
        <f t="shared" ref="H10:H17" si="0">F10*G10</f>
        <v>25</v>
      </c>
    </row>
    <row r="11" spans="1:11" ht="60" customHeight="1" x14ac:dyDescent="0.2">
      <c r="B11" s="38" t="s">
        <v>68</v>
      </c>
      <c r="C11" s="28" t="s">
        <v>55</v>
      </c>
      <c r="D11" s="28" t="s">
        <v>69</v>
      </c>
      <c r="E11" s="39" t="s">
        <v>67</v>
      </c>
      <c r="F11" s="39">
        <v>5</v>
      </c>
      <c r="G11" s="39">
        <v>4</v>
      </c>
      <c r="H11" s="40">
        <f t="shared" si="0"/>
        <v>20</v>
      </c>
    </row>
    <row r="12" spans="1:11" ht="45" customHeight="1" x14ac:dyDescent="0.2">
      <c r="B12" s="38" t="s">
        <v>70</v>
      </c>
      <c r="C12" s="28" t="s">
        <v>55</v>
      </c>
      <c r="D12" s="28" t="s">
        <v>71</v>
      </c>
      <c r="E12" s="39" t="s">
        <v>67</v>
      </c>
      <c r="F12" s="39">
        <v>4</v>
      </c>
      <c r="G12" s="39">
        <v>5</v>
      </c>
      <c r="H12" s="40">
        <f t="shared" si="0"/>
        <v>20</v>
      </c>
    </row>
    <row r="13" spans="1:11" ht="45" customHeight="1" x14ac:dyDescent="0.2">
      <c r="B13" s="38" t="s">
        <v>72</v>
      </c>
      <c r="C13" s="28" t="s">
        <v>55</v>
      </c>
      <c r="D13" s="28" t="s">
        <v>73</v>
      </c>
      <c r="E13" s="39" t="s">
        <v>67</v>
      </c>
      <c r="F13" s="39">
        <v>5</v>
      </c>
      <c r="G13" s="39">
        <v>4</v>
      </c>
      <c r="H13" s="40">
        <f t="shared" si="0"/>
        <v>20</v>
      </c>
    </row>
    <row r="14" spans="1:11" ht="45" customHeight="1" x14ac:dyDescent="0.2">
      <c r="B14" s="38" t="s">
        <v>74</v>
      </c>
      <c r="C14" s="28" t="s">
        <v>55</v>
      </c>
      <c r="D14" s="28" t="s">
        <v>75</v>
      </c>
      <c r="E14" s="39" t="s">
        <v>67</v>
      </c>
      <c r="F14" s="39">
        <v>5</v>
      </c>
      <c r="G14" s="39">
        <v>3</v>
      </c>
      <c r="H14" s="40">
        <f t="shared" si="0"/>
        <v>15</v>
      </c>
    </row>
    <row r="15" spans="1:11" ht="45" customHeight="1" x14ac:dyDescent="0.2">
      <c r="B15" s="38" t="s">
        <v>76</v>
      </c>
      <c r="C15" s="28" t="s">
        <v>55</v>
      </c>
      <c r="D15" s="28" t="s">
        <v>77</v>
      </c>
      <c r="E15" s="39" t="s">
        <v>67</v>
      </c>
      <c r="F15" s="39">
        <v>4</v>
      </c>
      <c r="G15" s="39">
        <v>4</v>
      </c>
      <c r="H15" s="40">
        <f t="shared" si="0"/>
        <v>16</v>
      </c>
    </row>
    <row r="16" spans="1:11" ht="45" customHeight="1" x14ac:dyDescent="0.2">
      <c r="B16" s="38" t="s">
        <v>78</v>
      </c>
      <c r="C16" s="28" t="s">
        <v>55</v>
      </c>
      <c r="D16" s="28" t="s">
        <v>79</v>
      </c>
      <c r="E16" s="39" t="s">
        <v>67</v>
      </c>
      <c r="F16" s="39">
        <v>5</v>
      </c>
      <c r="G16" s="39">
        <v>5</v>
      </c>
      <c r="H16" s="40">
        <f t="shared" si="0"/>
        <v>25</v>
      </c>
    </row>
    <row r="17" spans="1:11" ht="45" customHeight="1" x14ac:dyDescent="0.2">
      <c r="B17" s="41" t="s">
        <v>80</v>
      </c>
      <c r="C17" s="42" t="s">
        <v>55</v>
      </c>
      <c r="D17" s="42" t="s">
        <v>81</v>
      </c>
      <c r="E17" s="43" t="s">
        <v>82</v>
      </c>
      <c r="F17" s="43">
        <v>3</v>
      </c>
      <c r="G17" s="43">
        <v>4</v>
      </c>
      <c r="H17" s="44">
        <f t="shared" si="0"/>
        <v>12</v>
      </c>
    </row>
    <row r="19" spans="1:11" ht="15" customHeight="1" x14ac:dyDescent="0.2">
      <c r="A19" s="140" t="s">
        <v>83</v>
      </c>
      <c r="B19" s="140"/>
      <c r="C19" s="140"/>
      <c r="D19" s="140"/>
      <c r="E19" s="140"/>
      <c r="F19" s="140"/>
      <c r="G19" s="140"/>
      <c r="H19" s="140"/>
      <c r="I19" s="140"/>
      <c r="J19" s="140"/>
      <c r="K19" s="140"/>
    </row>
    <row r="20" spans="1:11" ht="30" customHeight="1" x14ac:dyDescent="0.2">
      <c r="B20" s="35" t="s">
        <v>84</v>
      </c>
      <c r="C20" s="36" t="s">
        <v>85</v>
      </c>
      <c r="D20" s="36" t="s">
        <v>86</v>
      </c>
      <c r="E20" s="36" t="s">
        <v>87</v>
      </c>
      <c r="F20" s="36" t="s">
        <v>88</v>
      </c>
      <c r="G20" s="36" t="s">
        <v>89</v>
      </c>
      <c r="H20" s="36" t="s">
        <v>90</v>
      </c>
      <c r="I20" s="36" t="s">
        <v>91</v>
      </c>
      <c r="J20" s="36" t="s">
        <v>92</v>
      </c>
      <c r="K20" s="37" t="s">
        <v>93</v>
      </c>
    </row>
    <row r="21" spans="1:11" ht="15" customHeight="1" x14ac:dyDescent="0.2">
      <c r="B21" s="45" t="s">
        <v>94</v>
      </c>
      <c r="C21" s="46" t="s">
        <v>2</v>
      </c>
      <c r="D21" s="47" t="s">
        <v>95</v>
      </c>
      <c r="E21" s="47" t="s">
        <v>95</v>
      </c>
      <c r="F21" s="47" t="s">
        <v>95</v>
      </c>
      <c r="G21" s="48" t="s">
        <v>96</v>
      </c>
      <c r="H21" s="47" t="s">
        <v>95</v>
      </c>
      <c r="I21" s="47" t="s">
        <v>95</v>
      </c>
      <c r="J21" s="48" t="s">
        <v>97</v>
      </c>
      <c r="K21" s="49" t="s">
        <v>98</v>
      </c>
    </row>
    <row r="22" spans="1:11" ht="15" customHeight="1" x14ac:dyDescent="0.2">
      <c r="B22" s="45" t="s">
        <v>99</v>
      </c>
      <c r="C22" s="46" t="s">
        <v>2</v>
      </c>
      <c r="D22" s="48" t="s">
        <v>96</v>
      </c>
      <c r="E22" s="47" t="s">
        <v>95</v>
      </c>
      <c r="F22" s="47" t="s">
        <v>95</v>
      </c>
      <c r="G22" s="47" t="s">
        <v>95</v>
      </c>
      <c r="H22" s="47" t="s">
        <v>95</v>
      </c>
      <c r="I22" s="47" t="s">
        <v>95</v>
      </c>
      <c r="J22" s="48" t="s">
        <v>97</v>
      </c>
      <c r="K22" s="49" t="s">
        <v>98</v>
      </c>
    </row>
    <row r="23" spans="1:11" ht="15" customHeight="1" x14ac:dyDescent="0.2">
      <c r="B23" s="45" t="s">
        <v>100</v>
      </c>
      <c r="C23" s="46" t="s">
        <v>3</v>
      </c>
      <c r="D23" s="48" t="s">
        <v>96</v>
      </c>
      <c r="E23" s="48" t="s">
        <v>96</v>
      </c>
      <c r="F23" s="47" t="s">
        <v>95</v>
      </c>
      <c r="G23" s="47" t="s">
        <v>95</v>
      </c>
      <c r="H23" s="47" t="s">
        <v>95</v>
      </c>
      <c r="I23" s="47" t="s">
        <v>95</v>
      </c>
      <c r="J23" s="48" t="s">
        <v>97</v>
      </c>
      <c r="K23" s="49" t="s">
        <v>98</v>
      </c>
    </row>
    <row r="24" spans="1:11" ht="15" customHeight="1" x14ac:dyDescent="0.2">
      <c r="B24" s="45" t="s">
        <v>101</v>
      </c>
      <c r="C24" s="46" t="s">
        <v>3</v>
      </c>
      <c r="D24" s="47" t="s">
        <v>95</v>
      </c>
      <c r="E24" s="47" t="s">
        <v>95</v>
      </c>
      <c r="F24" s="47" t="s">
        <v>95</v>
      </c>
      <c r="G24" s="48" t="s">
        <v>96</v>
      </c>
      <c r="H24" s="47" t="s">
        <v>95</v>
      </c>
      <c r="I24" s="47" t="s">
        <v>95</v>
      </c>
      <c r="J24" s="48" t="s">
        <v>97</v>
      </c>
      <c r="K24" s="49" t="s">
        <v>98</v>
      </c>
    </row>
    <row r="25" spans="1:11" ht="15" customHeight="1" x14ac:dyDescent="0.2">
      <c r="B25" s="45" t="s">
        <v>102</v>
      </c>
      <c r="C25" s="46" t="s">
        <v>4</v>
      </c>
      <c r="D25" s="48" t="s">
        <v>96</v>
      </c>
      <c r="E25" s="47" t="s">
        <v>95</v>
      </c>
      <c r="F25" s="47" t="s">
        <v>95</v>
      </c>
      <c r="G25" s="47" t="s">
        <v>95</v>
      </c>
      <c r="H25" s="47" t="s">
        <v>95</v>
      </c>
      <c r="I25" s="47" t="s">
        <v>95</v>
      </c>
      <c r="J25" s="48" t="s">
        <v>97</v>
      </c>
      <c r="K25" s="49" t="s">
        <v>98</v>
      </c>
    </row>
    <row r="26" spans="1:11" ht="15" customHeight="1" x14ac:dyDescent="0.2">
      <c r="B26" s="45" t="s">
        <v>103</v>
      </c>
      <c r="C26" s="46" t="s">
        <v>4</v>
      </c>
      <c r="D26" s="47" t="s">
        <v>95</v>
      </c>
      <c r="E26" s="48" t="s">
        <v>96</v>
      </c>
      <c r="F26" s="47" t="s">
        <v>95</v>
      </c>
      <c r="G26" s="47" t="s">
        <v>95</v>
      </c>
      <c r="H26" s="48" t="s">
        <v>96</v>
      </c>
      <c r="I26" s="47" t="s">
        <v>95</v>
      </c>
      <c r="J26" s="48" t="s">
        <v>97</v>
      </c>
      <c r="K26" s="49" t="s">
        <v>98</v>
      </c>
    </row>
    <row r="27" spans="1:11" ht="15" customHeight="1" x14ac:dyDescent="0.2">
      <c r="B27" s="45" t="s">
        <v>104</v>
      </c>
      <c r="C27" s="46" t="s">
        <v>4</v>
      </c>
      <c r="D27" s="47" t="s">
        <v>95</v>
      </c>
      <c r="E27" s="47" t="s">
        <v>95</v>
      </c>
      <c r="F27" s="48" t="s">
        <v>96</v>
      </c>
      <c r="G27" s="47" t="s">
        <v>95</v>
      </c>
      <c r="H27" s="47" t="s">
        <v>95</v>
      </c>
      <c r="I27" s="47" t="s">
        <v>95</v>
      </c>
      <c r="J27" s="48" t="s">
        <v>97</v>
      </c>
      <c r="K27" s="49" t="s">
        <v>98</v>
      </c>
    </row>
    <row r="28" spans="1:11" ht="15" customHeight="1" x14ac:dyDescent="0.2">
      <c r="B28" s="45" t="s">
        <v>105</v>
      </c>
      <c r="C28" s="46" t="s">
        <v>5</v>
      </c>
      <c r="D28" s="47" t="s">
        <v>95</v>
      </c>
      <c r="E28" s="47" t="s">
        <v>95</v>
      </c>
      <c r="F28" s="47" t="s">
        <v>95</v>
      </c>
      <c r="G28" s="47" t="s">
        <v>95</v>
      </c>
      <c r="H28" s="48" t="s">
        <v>96</v>
      </c>
      <c r="I28" s="47" t="s">
        <v>95</v>
      </c>
      <c r="J28" s="48" t="s">
        <v>97</v>
      </c>
      <c r="K28" s="49" t="s">
        <v>98</v>
      </c>
    </row>
    <row r="29" spans="1:11" ht="15" customHeight="1" x14ac:dyDescent="0.2">
      <c r="B29" s="45" t="s">
        <v>106</v>
      </c>
      <c r="C29" s="46" t="s">
        <v>5</v>
      </c>
      <c r="D29" s="47" t="s">
        <v>95</v>
      </c>
      <c r="E29" s="47" t="s">
        <v>95</v>
      </c>
      <c r="F29" s="47" t="s">
        <v>95</v>
      </c>
      <c r="G29" s="48" t="s">
        <v>96</v>
      </c>
      <c r="H29" s="47" t="s">
        <v>95</v>
      </c>
      <c r="I29" s="48" t="s">
        <v>96</v>
      </c>
      <c r="J29" s="48" t="s">
        <v>97</v>
      </c>
      <c r="K29" s="49" t="s">
        <v>98</v>
      </c>
    </row>
    <row r="30" spans="1:11" ht="15" customHeight="1" x14ac:dyDescent="0.2">
      <c r="B30" s="45" t="s">
        <v>107</v>
      </c>
      <c r="C30" s="46" t="s">
        <v>6</v>
      </c>
      <c r="D30" s="47" t="s">
        <v>95</v>
      </c>
      <c r="E30" s="47" t="s">
        <v>95</v>
      </c>
      <c r="F30" s="47" t="s">
        <v>95</v>
      </c>
      <c r="G30" s="48" t="s">
        <v>96</v>
      </c>
      <c r="H30" s="47" t="s">
        <v>95</v>
      </c>
      <c r="I30" s="48" t="s">
        <v>96</v>
      </c>
      <c r="J30" s="48" t="s">
        <v>97</v>
      </c>
      <c r="K30" s="49" t="s">
        <v>98</v>
      </c>
    </row>
    <row r="31" spans="1:11" ht="15" customHeight="1" x14ac:dyDescent="0.2">
      <c r="B31" s="45" t="s">
        <v>108</v>
      </c>
      <c r="C31" s="46" t="s">
        <v>7</v>
      </c>
      <c r="D31" s="47" t="s">
        <v>95</v>
      </c>
      <c r="E31" s="47" t="s">
        <v>95</v>
      </c>
      <c r="F31" s="47" t="s">
        <v>95</v>
      </c>
      <c r="G31" s="47" t="s">
        <v>95</v>
      </c>
      <c r="H31" s="47" t="s">
        <v>95</v>
      </c>
      <c r="I31" s="47" t="s">
        <v>95</v>
      </c>
      <c r="J31" s="48" t="s">
        <v>97</v>
      </c>
      <c r="K31" s="49" t="s">
        <v>98</v>
      </c>
    </row>
    <row r="32" spans="1:11" ht="15" customHeight="1" x14ac:dyDescent="0.2">
      <c r="B32" s="45" t="s">
        <v>109</v>
      </c>
      <c r="C32" s="46" t="s">
        <v>7</v>
      </c>
      <c r="D32" s="47" t="s">
        <v>95</v>
      </c>
      <c r="E32" s="47" t="s">
        <v>95</v>
      </c>
      <c r="F32" s="48" t="s">
        <v>96</v>
      </c>
      <c r="G32" s="48" t="s">
        <v>96</v>
      </c>
      <c r="H32" s="47" t="s">
        <v>95</v>
      </c>
      <c r="I32" s="47" t="s">
        <v>95</v>
      </c>
      <c r="J32" s="48" t="s">
        <v>97</v>
      </c>
      <c r="K32" s="49" t="s">
        <v>98</v>
      </c>
    </row>
    <row r="33" spans="1:11" ht="15" customHeight="1" x14ac:dyDescent="0.2">
      <c r="B33" s="50" t="s">
        <v>110</v>
      </c>
      <c r="C33" s="51" t="s">
        <v>8</v>
      </c>
      <c r="D33" s="52" t="s">
        <v>96</v>
      </c>
      <c r="E33" s="53" t="s">
        <v>95</v>
      </c>
      <c r="F33" s="53" t="s">
        <v>95</v>
      </c>
      <c r="G33" s="53" t="s">
        <v>95</v>
      </c>
      <c r="H33" s="52" t="s">
        <v>96</v>
      </c>
      <c r="I33" s="53" t="s">
        <v>95</v>
      </c>
      <c r="J33" s="52" t="s">
        <v>97</v>
      </c>
      <c r="K33" s="54" t="s">
        <v>95</v>
      </c>
    </row>
    <row r="35" spans="1:11" ht="15" customHeight="1" x14ac:dyDescent="0.2">
      <c r="A35" s="140" t="s">
        <v>111</v>
      </c>
      <c r="B35" s="140"/>
      <c r="C35" s="140"/>
      <c r="D35" s="140"/>
      <c r="E35" s="140"/>
      <c r="F35" s="140"/>
      <c r="G35" s="140"/>
      <c r="H35" s="140"/>
      <c r="I35" s="140"/>
      <c r="J35" s="140"/>
      <c r="K35" s="140"/>
    </row>
    <row r="36" spans="1:11" ht="30" customHeight="1" x14ac:dyDescent="0.2">
      <c r="B36" s="55" t="s">
        <v>112</v>
      </c>
      <c r="C36" s="55" t="s">
        <v>113</v>
      </c>
      <c r="D36" s="55" t="s">
        <v>114</v>
      </c>
    </row>
    <row r="37" spans="1:11" ht="15" customHeight="1" x14ac:dyDescent="0.2">
      <c r="B37" s="28" t="s">
        <v>115</v>
      </c>
      <c r="C37" s="56" t="str">
        <f ca="1">IF(SUMPRODUCT((COUNTIF(OFFSET(D21,ROW(INDIRECT("1:13"))-1,0,1,8),"A")&lt;&gt;1)*1)=0,"PASS","FAIL")</f>
        <v>PASS</v>
      </c>
      <c r="D37" s="57">
        <f ca="1">SUMPRODUCT((COUNTIF(OFFSET(D21,ROW(INDIRECT("1:13"))-1,0,1,8),"A")&lt;&gt;1)*1)</f>
        <v>0</v>
      </c>
    </row>
    <row r="38" spans="1:11" ht="15" customHeight="1" x14ac:dyDescent="0.2">
      <c r="B38" s="28" t="s">
        <v>116</v>
      </c>
      <c r="C38" s="56" t="str">
        <f ca="1">IF(SUMPRODUCT((COUNTIF(OFFSET(D21,ROW(INDIRECT("1:13"))-1,0,1,8),"R")&lt;1)*1)=0,"PASS","FAIL")</f>
        <v>FAIL</v>
      </c>
      <c r="D38" s="57">
        <f ca="1">SUMPRODUCT((COUNTIF(OFFSET(D21,ROW(INDIRECT("1:13"))-1,0,1,8),"R")&lt;1)*1)</f>
        <v>1</v>
      </c>
    </row>
  </sheetData>
  <mergeCells count="10">
    <mergeCell ref="A8:K8"/>
    <mergeCell ref="A19:K19"/>
    <mergeCell ref="A35:K35"/>
    <mergeCell ref="A1:H1"/>
    <mergeCell ref="B2:H2"/>
    <mergeCell ref="B3:H3"/>
    <mergeCell ref="B4:H4"/>
    <mergeCell ref="B5:H5"/>
    <mergeCell ref="C6:D6"/>
    <mergeCell ref="E6:F6"/>
  </mergeCells>
  <conditionalFormatting sqref="B6">
    <cfRule type="cellIs" dxfId="46" priority="1" operator="equal">
      <formula>"Signed off"</formula>
    </cfRule>
    <cfRule type="cellIs" dxfId="45" priority="2" operator="equal">
      <formula>"In review"</formula>
    </cfRule>
  </conditionalFormatting>
  <conditionalFormatting sqref="C37:C38">
    <cfRule type="cellIs" dxfId="44" priority="7" operator="equal">
      <formula>"PASS"</formula>
    </cfRule>
    <cfRule type="cellIs" dxfId="43" priority="8" operator="equal">
      <formula>"FAIL"</formula>
    </cfRule>
  </conditionalFormatting>
  <conditionalFormatting sqref="D21:K33">
    <cfRule type="cellIs" dxfId="42" priority="3" operator="equal">
      <formula>"A"</formula>
    </cfRule>
    <cfRule type="cellIs" dxfId="41" priority="4" operator="equal">
      <formula>"R"</formula>
    </cfRule>
    <cfRule type="cellIs" dxfId="40" priority="5" operator="equal">
      <formula>"C"</formula>
    </cfRule>
    <cfRule type="cellIs" dxfId="39" priority="6" operator="equal">
      <formula>"I"</formula>
    </cfRule>
  </conditionalFormatting>
  <dataValidations count="5">
    <dataValidation type="list" sqref="D21:K33" xr:uid="{FEC547DE-6700-D34E-AFB1-3DFACFF80893}">
      <formula1>"R,A,C,I"</formula1>
      <formula2>0</formula2>
    </dataValidation>
    <dataValidation type="list" sqref="F10:G17" xr:uid="{3AB09FA0-6D37-234A-B06D-1D91ABB7401D}">
      <formula1>"1,2,3,4,5"</formula1>
      <formula2>0</formula2>
    </dataValidation>
    <dataValidation type="list" sqref="E10:E17" xr:uid="{8C5D19B8-6EB1-0F44-A71B-5B645B798EC6}">
      <formula1>"Internal,External"</formula1>
      <formula2>0</formula2>
    </dataValidation>
    <dataValidation type="date" operator="greaterThan" allowBlank="1" errorTitle="Invalid date" error="Enter a valid date" sqref="H6" xr:uid="{DDCD2D84-E009-224F-96DC-12E54C4EB684}">
      <formula1>2020-1-1</formula1>
      <formula2>0</formula2>
    </dataValidation>
    <dataValidation type="list" sqref="B6" xr:uid="{018582F2-4B16-0F4A-A09D-3B3C39A2F947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4500-200C-AB41-A75D-CB2E2CC2F166}">
  <sheetPr>
    <pageSetUpPr fitToPage="1"/>
  </sheetPr>
  <dimension ref="A1:H42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14" style="2" customWidth="1"/>
    <col min="2" max="2" width="24" style="2" customWidth="1"/>
    <col min="3" max="3" width="36" style="2" customWidth="1"/>
    <col min="4" max="8" width="10" style="2" customWidth="1"/>
    <col min="9" max="16384" width="8.6640625" style="2"/>
  </cols>
  <sheetData>
    <row r="1" spans="1:8" ht="31.5" customHeight="1" x14ac:dyDescent="0.2">
      <c r="A1" s="143" t="s">
        <v>260</v>
      </c>
      <c r="B1" s="143"/>
      <c r="C1" s="143"/>
      <c r="D1" s="143"/>
      <c r="E1" s="143"/>
      <c r="F1" s="143"/>
      <c r="G1" s="143"/>
      <c r="H1" s="143"/>
    </row>
    <row r="2" spans="1:8" ht="21.75" customHeight="1" x14ac:dyDescent="0.2">
      <c r="A2" s="78" t="s">
        <v>44</v>
      </c>
      <c r="B2" s="144" t="s">
        <v>259</v>
      </c>
      <c r="C2" s="144"/>
      <c r="D2" s="144"/>
      <c r="E2" s="144"/>
      <c r="F2" s="144"/>
      <c r="G2" s="144"/>
      <c r="H2" s="144"/>
    </row>
    <row r="3" spans="1:8" ht="21.75" customHeight="1" x14ac:dyDescent="0.2">
      <c r="A3" s="78" t="s">
        <v>46</v>
      </c>
      <c r="B3" s="144" t="s">
        <v>258</v>
      </c>
      <c r="C3" s="144"/>
      <c r="D3" s="144"/>
      <c r="E3" s="144"/>
      <c r="F3" s="144"/>
      <c r="G3" s="144"/>
      <c r="H3" s="144"/>
    </row>
    <row r="4" spans="1:8" ht="21.75" customHeight="1" x14ac:dyDescent="0.2">
      <c r="A4" s="78" t="s">
        <v>48</v>
      </c>
      <c r="B4" s="144" t="s">
        <v>257</v>
      </c>
      <c r="C4" s="144"/>
      <c r="D4" s="144"/>
      <c r="E4" s="144"/>
      <c r="F4" s="144"/>
      <c r="G4" s="144"/>
      <c r="H4" s="144"/>
    </row>
    <row r="5" spans="1:8" ht="21.75" customHeight="1" x14ac:dyDescent="0.2">
      <c r="A5" s="78" t="s">
        <v>50</v>
      </c>
      <c r="B5" s="144" t="s">
        <v>256</v>
      </c>
      <c r="C5" s="144"/>
      <c r="D5" s="144"/>
      <c r="E5" s="144"/>
      <c r="F5" s="144"/>
      <c r="G5" s="144"/>
      <c r="H5" s="144"/>
    </row>
    <row r="6" spans="1:8" ht="79.5" customHeight="1" x14ac:dyDescent="0.2">
      <c r="A6" s="32" t="s">
        <v>52</v>
      </c>
      <c r="B6" s="33" t="s">
        <v>53</v>
      </c>
      <c r="C6" s="145" t="s">
        <v>54</v>
      </c>
      <c r="D6" s="145"/>
      <c r="E6" s="146" t="s">
        <v>55</v>
      </c>
      <c r="F6" s="146"/>
      <c r="G6" s="32" t="s">
        <v>56</v>
      </c>
      <c r="H6" s="34" t="s">
        <v>55</v>
      </c>
    </row>
    <row r="7" spans="1:8" ht="7.5" customHeight="1" x14ac:dyDescent="0.2"/>
    <row r="8" spans="1:8" ht="15" customHeight="1" x14ac:dyDescent="0.2">
      <c r="A8" s="140" t="s">
        <v>255</v>
      </c>
      <c r="B8" s="140"/>
      <c r="C8" s="140"/>
      <c r="D8" s="140"/>
      <c r="E8" s="140"/>
      <c r="F8" s="140"/>
      <c r="G8" s="140"/>
      <c r="H8" s="140"/>
    </row>
    <row r="9" spans="1:8" ht="15" customHeight="1" x14ac:dyDescent="0.2">
      <c r="B9" s="148" t="s">
        <v>254</v>
      </c>
      <c r="C9" s="148"/>
      <c r="D9" s="148"/>
      <c r="E9" s="148"/>
      <c r="F9" s="148"/>
      <c r="G9" s="148"/>
      <c r="H9" s="148"/>
    </row>
    <row r="10" spans="1:8" ht="60" customHeight="1" x14ac:dyDescent="0.2">
      <c r="B10" s="149" t="s">
        <v>253</v>
      </c>
      <c r="C10" s="149"/>
      <c r="D10" s="149"/>
      <c r="E10" s="149"/>
      <c r="F10" s="149"/>
      <c r="G10" s="149"/>
      <c r="H10" s="149"/>
    </row>
    <row r="12" spans="1:8" ht="15" customHeight="1" x14ac:dyDescent="0.2">
      <c r="A12" s="140" t="s">
        <v>252</v>
      </c>
      <c r="B12" s="140"/>
      <c r="C12" s="140"/>
      <c r="D12" s="140"/>
      <c r="E12" s="140"/>
      <c r="F12" s="140"/>
      <c r="G12" s="140"/>
      <c r="H12" s="140"/>
    </row>
    <row r="13" spans="1:8" ht="39" customHeight="1" x14ac:dyDescent="0.2">
      <c r="B13" s="55" t="s">
        <v>251</v>
      </c>
      <c r="C13" s="55" t="s">
        <v>250</v>
      </c>
      <c r="D13" s="55" t="s">
        <v>249</v>
      </c>
      <c r="E13" s="55" t="s">
        <v>248</v>
      </c>
      <c r="F13" s="55" t="s">
        <v>247</v>
      </c>
      <c r="G13" s="148" t="s">
        <v>246</v>
      </c>
      <c r="H13" s="148"/>
    </row>
    <row r="14" spans="1:8" ht="64" customHeight="1" x14ac:dyDescent="0.2">
      <c r="B14" s="28" t="s">
        <v>245</v>
      </c>
      <c r="C14" s="39">
        <v>5</v>
      </c>
      <c r="D14" s="28" t="s">
        <v>244</v>
      </c>
      <c r="E14" s="39">
        <v>5</v>
      </c>
      <c r="F14" s="19">
        <f>C14*E14</f>
        <v>25</v>
      </c>
      <c r="G14" s="105" t="s">
        <v>243</v>
      </c>
      <c r="H14" s="105"/>
    </row>
    <row r="15" spans="1:8" ht="61" customHeight="1" x14ac:dyDescent="0.2">
      <c r="B15" s="28" t="s">
        <v>242</v>
      </c>
      <c r="C15" s="39">
        <v>4</v>
      </c>
      <c r="D15" s="28" t="s">
        <v>241</v>
      </c>
      <c r="E15" s="39">
        <v>4</v>
      </c>
      <c r="F15" s="19">
        <f>C15*E15</f>
        <v>16</v>
      </c>
      <c r="G15" s="105" t="s">
        <v>233</v>
      </c>
      <c r="H15" s="105"/>
    </row>
    <row r="16" spans="1:8" ht="55" customHeight="1" x14ac:dyDescent="0.2">
      <c r="B16" s="28" t="s">
        <v>240</v>
      </c>
      <c r="C16" s="39">
        <v>4</v>
      </c>
      <c r="D16" s="28" t="s">
        <v>239</v>
      </c>
      <c r="E16" s="39">
        <v>4</v>
      </c>
      <c r="F16" s="19">
        <f>C16*E16</f>
        <v>16</v>
      </c>
      <c r="G16" s="105" t="s">
        <v>233</v>
      </c>
      <c r="H16" s="105"/>
    </row>
    <row r="17" spans="1:8" ht="68" customHeight="1" x14ac:dyDescent="0.2">
      <c r="B17" s="28" t="s">
        <v>238</v>
      </c>
      <c r="C17" s="39">
        <v>4</v>
      </c>
      <c r="D17" s="28" t="s">
        <v>237</v>
      </c>
      <c r="E17" s="39">
        <v>5</v>
      </c>
      <c r="F17" s="19">
        <f>C17*E17</f>
        <v>20</v>
      </c>
      <c r="G17" s="105" t="s">
        <v>236</v>
      </c>
      <c r="H17" s="105"/>
    </row>
    <row r="18" spans="1:8" ht="64.5" customHeight="1" x14ac:dyDescent="0.2">
      <c r="B18" s="28" t="s">
        <v>235</v>
      </c>
      <c r="C18" s="39">
        <v>3</v>
      </c>
      <c r="D18" s="28" t="s">
        <v>234</v>
      </c>
      <c r="E18" s="39">
        <v>3</v>
      </c>
      <c r="F18" s="19">
        <f>C18*E18</f>
        <v>9</v>
      </c>
      <c r="G18" s="105" t="s">
        <v>233</v>
      </c>
      <c r="H18" s="105"/>
    </row>
    <row r="20" spans="1:8" ht="15" customHeight="1" x14ac:dyDescent="0.2">
      <c r="A20" s="140" t="s">
        <v>232</v>
      </c>
      <c r="B20" s="140"/>
      <c r="C20" s="140"/>
      <c r="D20" s="140"/>
      <c r="E20" s="140"/>
      <c r="F20" s="140"/>
      <c r="G20" s="140"/>
      <c r="H20" s="140"/>
    </row>
    <row r="21" spans="1:8" ht="15" customHeight="1" x14ac:dyDescent="0.2">
      <c r="B21" s="55" t="s">
        <v>231</v>
      </c>
      <c r="C21" s="147" t="s">
        <v>230</v>
      </c>
      <c r="D21" s="147"/>
      <c r="E21" s="147"/>
      <c r="F21" s="147"/>
      <c r="G21" s="147"/>
      <c r="H21" s="147"/>
    </row>
    <row r="22" spans="1:8" ht="30" customHeight="1" x14ac:dyDescent="0.2">
      <c r="B22" s="55" t="s">
        <v>229</v>
      </c>
    </row>
    <row r="23" spans="1:8" ht="15" customHeight="1" x14ac:dyDescent="0.2">
      <c r="B23" s="28" t="s">
        <v>228</v>
      </c>
      <c r="C23" s="39" t="s">
        <v>223</v>
      </c>
    </row>
    <row r="24" spans="1:8" ht="15" customHeight="1" x14ac:dyDescent="0.2">
      <c r="B24" s="28" t="s">
        <v>215</v>
      </c>
      <c r="C24" s="39" t="s">
        <v>227</v>
      </c>
    </row>
    <row r="25" spans="1:8" ht="15" customHeight="1" x14ac:dyDescent="0.2">
      <c r="B25" s="28" t="s">
        <v>214</v>
      </c>
      <c r="C25" s="39" t="s">
        <v>227</v>
      </c>
    </row>
    <row r="26" spans="1:8" ht="15" customHeight="1" x14ac:dyDescent="0.2">
      <c r="B26" s="28" t="s">
        <v>226</v>
      </c>
      <c r="C26" s="39" t="s">
        <v>223</v>
      </c>
    </row>
    <row r="27" spans="1:8" ht="15" customHeight="1" x14ac:dyDescent="0.2">
      <c r="B27" s="28" t="s">
        <v>213</v>
      </c>
      <c r="C27" s="39" t="s">
        <v>223</v>
      </c>
    </row>
    <row r="28" spans="1:8" ht="15" customHeight="1" x14ac:dyDescent="0.2">
      <c r="B28" s="28" t="s">
        <v>225</v>
      </c>
      <c r="C28" s="39" t="s">
        <v>223</v>
      </c>
    </row>
    <row r="29" spans="1:8" ht="15" customHeight="1" x14ac:dyDescent="0.2">
      <c r="B29" s="28" t="s">
        <v>212</v>
      </c>
      <c r="C29" s="39" t="s">
        <v>223</v>
      </c>
    </row>
    <row r="30" spans="1:8" ht="15" customHeight="1" x14ac:dyDescent="0.2">
      <c r="B30" s="28" t="s">
        <v>224</v>
      </c>
      <c r="C30" s="39" t="s">
        <v>223</v>
      </c>
    </row>
    <row r="32" spans="1:8" ht="15" customHeight="1" x14ac:dyDescent="0.2">
      <c r="A32" s="140" t="s">
        <v>222</v>
      </c>
      <c r="B32" s="140"/>
      <c r="C32" s="140"/>
      <c r="D32" s="140"/>
      <c r="E32" s="140"/>
      <c r="F32" s="140"/>
      <c r="G32" s="140"/>
      <c r="H32" s="140"/>
    </row>
    <row r="33" spans="2:8" ht="26.25" customHeight="1" x14ac:dyDescent="0.2">
      <c r="B33" s="55" t="s">
        <v>221</v>
      </c>
      <c r="C33" s="55" t="s">
        <v>220</v>
      </c>
      <c r="D33" s="55" t="s">
        <v>219</v>
      </c>
      <c r="E33" s="55" t="s">
        <v>218</v>
      </c>
      <c r="F33" s="148" t="s">
        <v>217</v>
      </c>
      <c r="G33" s="148"/>
      <c r="H33" s="148"/>
    </row>
    <row r="34" spans="2:8" ht="30" customHeight="1" x14ac:dyDescent="0.2">
      <c r="B34" s="28" t="s">
        <v>216</v>
      </c>
      <c r="C34" s="39">
        <v>3</v>
      </c>
      <c r="D34" s="39">
        <v>4</v>
      </c>
      <c r="E34" s="57">
        <f t="shared" ref="E34:E42" si="0">D34-C34</f>
        <v>1</v>
      </c>
      <c r="F34" s="147"/>
      <c r="G34" s="147"/>
      <c r="H34" s="147"/>
    </row>
    <row r="35" spans="2:8" ht="15" customHeight="1" x14ac:dyDescent="0.2">
      <c r="B35" s="28" t="s">
        <v>215</v>
      </c>
      <c r="C35" s="39">
        <v>3</v>
      </c>
      <c r="D35" s="39">
        <v>4</v>
      </c>
      <c r="E35" s="57">
        <f t="shared" si="0"/>
        <v>1</v>
      </c>
      <c r="F35" s="147"/>
      <c r="G35" s="147"/>
      <c r="H35" s="147"/>
    </row>
    <row r="36" spans="2:8" ht="15" customHeight="1" x14ac:dyDescent="0.2">
      <c r="B36" s="28" t="s">
        <v>214</v>
      </c>
      <c r="C36" s="39">
        <v>3</v>
      </c>
      <c r="D36" s="39">
        <v>5</v>
      </c>
      <c r="E36" s="57">
        <f t="shared" si="0"/>
        <v>2</v>
      </c>
      <c r="F36" s="147"/>
      <c r="G36" s="147"/>
      <c r="H36" s="147"/>
    </row>
    <row r="37" spans="2:8" ht="15" customHeight="1" x14ac:dyDescent="0.2">
      <c r="B37" s="28" t="s">
        <v>213</v>
      </c>
      <c r="C37" s="39">
        <v>4</v>
      </c>
      <c r="D37" s="39">
        <v>4</v>
      </c>
      <c r="E37" s="57">
        <f t="shared" si="0"/>
        <v>0</v>
      </c>
      <c r="F37" s="147"/>
      <c r="G37" s="147"/>
      <c r="H37" s="147"/>
    </row>
    <row r="38" spans="2:8" ht="15" customHeight="1" x14ac:dyDescent="0.2">
      <c r="B38" s="28" t="s">
        <v>212</v>
      </c>
      <c r="C38" s="39">
        <v>3</v>
      </c>
      <c r="D38" s="39">
        <v>4</v>
      </c>
      <c r="E38" s="57">
        <f t="shared" si="0"/>
        <v>1</v>
      </c>
      <c r="F38" s="147"/>
      <c r="G38" s="147"/>
      <c r="H38" s="147"/>
    </row>
    <row r="39" spans="2:8" ht="15" customHeight="1" x14ac:dyDescent="0.2">
      <c r="B39" s="28" t="s">
        <v>211</v>
      </c>
      <c r="C39" s="39">
        <v>2</v>
      </c>
      <c r="D39" s="39">
        <v>4</v>
      </c>
      <c r="E39" s="57">
        <f t="shared" si="0"/>
        <v>2</v>
      </c>
      <c r="F39" s="147"/>
      <c r="G39" s="147"/>
      <c r="H39" s="147"/>
    </row>
    <row r="40" spans="2:8" ht="15" customHeight="1" x14ac:dyDescent="0.2">
      <c r="B40" s="28" t="s">
        <v>210</v>
      </c>
      <c r="C40" s="39">
        <v>3</v>
      </c>
      <c r="D40" s="39">
        <v>4</v>
      </c>
      <c r="E40" s="57">
        <f t="shared" si="0"/>
        <v>1</v>
      </c>
      <c r="F40" s="147"/>
      <c r="G40" s="147"/>
      <c r="H40" s="147"/>
    </row>
    <row r="41" spans="2:8" ht="30" customHeight="1" x14ac:dyDescent="0.2">
      <c r="B41" s="28" t="s">
        <v>209</v>
      </c>
      <c r="C41" s="39">
        <v>4</v>
      </c>
      <c r="D41" s="39">
        <v>4</v>
      </c>
      <c r="E41" s="57">
        <f t="shared" si="0"/>
        <v>0</v>
      </c>
      <c r="F41" s="147"/>
      <c r="G41" s="147"/>
      <c r="H41" s="147"/>
    </row>
    <row r="42" spans="2:8" ht="15" customHeight="1" x14ac:dyDescent="0.2">
      <c r="B42" s="28" t="s">
        <v>208</v>
      </c>
      <c r="C42" s="39">
        <v>2</v>
      </c>
      <c r="D42" s="39">
        <v>4</v>
      </c>
      <c r="E42" s="57">
        <f t="shared" si="0"/>
        <v>2</v>
      </c>
      <c r="F42" s="147"/>
      <c r="G42" s="147"/>
      <c r="H42" s="147"/>
    </row>
  </sheetData>
  <mergeCells count="30">
    <mergeCell ref="G14:H14"/>
    <mergeCell ref="A1:H1"/>
    <mergeCell ref="B2:H2"/>
    <mergeCell ref="B3:H3"/>
    <mergeCell ref="B4:H4"/>
    <mergeCell ref="B5:H5"/>
    <mergeCell ref="C6:D6"/>
    <mergeCell ref="E6:F6"/>
    <mergeCell ref="A8:H8"/>
    <mergeCell ref="B9:H9"/>
    <mergeCell ref="B10:H10"/>
    <mergeCell ref="A12:H12"/>
    <mergeCell ref="G13:H13"/>
    <mergeCell ref="F37:H37"/>
    <mergeCell ref="G15:H15"/>
    <mergeCell ref="G16:H16"/>
    <mergeCell ref="G17:H17"/>
    <mergeCell ref="G18:H18"/>
    <mergeCell ref="A20:H20"/>
    <mergeCell ref="C21:H21"/>
    <mergeCell ref="A32:H32"/>
    <mergeCell ref="F33:H33"/>
    <mergeCell ref="F34:H34"/>
    <mergeCell ref="F35:H35"/>
    <mergeCell ref="F36:H36"/>
    <mergeCell ref="F38:H38"/>
    <mergeCell ref="F39:H39"/>
    <mergeCell ref="F40:H40"/>
    <mergeCell ref="F41:H41"/>
    <mergeCell ref="F42:H42"/>
  </mergeCells>
  <conditionalFormatting sqref="B6">
    <cfRule type="cellIs" dxfId="38" priority="1" operator="equal">
      <formula>"Signed off"</formula>
    </cfRule>
    <cfRule type="cellIs" dxfId="37" priority="2" operator="equal">
      <formula>"In review"</formula>
    </cfRule>
  </conditionalFormatting>
  <conditionalFormatting sqref="C23:C30">
    <cfRule type="cellIs" dxfId="36" priority="3" operator="equal">
      <formula>"Y"</formula>
    </cfRule>
  </conditionalFormatting>
  <conditionalFormatting sqref="E34:E42">
    <cfRule type="colorScale" priority="4">
      <colorScale>
        <cfvo type="num" val="0"/>
        <cfvo type="num" val="2"/>
        <cfvo type="num" val="4"/>
        <color rgb="FFC6EFCE"/>
        <color rgb="FFFFEB9C"/>
        <color rgb="FFFFC7CE"/>
      </colorScale>
    </cfRule>
  </conditionalFormatting>
  <dataValidations count="6">
    <dataValidation type="list" sqref="C23:C30" xr:uid="{00000000-0002-0000-0400-000005000000}">
      <formula1>"Y,N"</formula1>
      <formula2>0</formula2>
    </dataValidation>
    <dataValidation type="list" sqref="C21" xr:uid="{00000000-0002-0000-0400-000004000000}">
      <formula1>"Notebooks,Office furniture,Workwear,Vehicles,Building materials,Lighting,ICT services"</formula1>
      <formula2>0</formula2>
    </dataValidation>
    <dataValidation type="list" sqref="G14:G18" xr:uid="{00000000-0002-0000-0400-000003000000}">
      <formula1>"Regulatory,Strategic,Operational,Other"</formula1>
      <formula2>0</formula2>
    </dataValidation>
    <dataValidation type="list" sqref="C14:C18 E14:E18 C34:D42" xr:uid="{00000000-0002-0000-0400-000002000000}">
      <formula1>"1,2,3,4,5"</formula1>
      <formula2>0</formula2>
    </dataValidation>
    <dataValidation type="date" operator="greaterThan" allowBlank="1" errorTitle="Invalid date" error="Enter a valid date" sqref="H6" xr:uid="{00000000-0002-0000-0400-000001000000}">
      <formula1>2020-1-1</formula1>
      <formula2>0</formula2>
    </dataValidation>
    <dataValidation type="list" sqref="B6" xr:uid="{00000000-0002-0000-0400-000000000000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7932-71EA-1147-A056-09425C9E28F8}">
  <sheetPr>
    <pageSetUpPr fitToPage="1"/>
  </sheetPr>
  <dimension ref="A1:I25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15" style="2" customWidth="1"/>
    <col min="2" max="2" width="26" style="2" customWidth="1"/>
    <col min="3" max="3" width="15" style="2" customWidth="1"/>
    <col min="4" max="4" width="12.1640625" style="2" customWidth="1"/>
    <col min="5" max="5" width="14.83203125" style="2" customWidth="1"/>
    <col min="6" max="6" width="12" style="2" customWidth="1"/>
    <col min="7" max="7" width="17.33203125" style="2" customWidth="1"/>
    <col min="8" max="8" width="13.1640625" style="2" customWidth="1"/>
    <col min="9" max="9" width="18" style="2" customWidth="1"/>
    <col min="10" max="16384" width="8.6640625" style="2"/>
  </cols>
  <sheetData>
    <row r="1" spans="1:9" ht="31.5" customHeight="1" x14ac:dyDescent="0.2">
      <c r="A1" s="143" t="s">
        <v>570</v>
      </c>
      <c r="B1" s="143"/>
      <c r="C1" s="143"/>
      <c r="D1" s="143"/>
      <c r="E1" s="143"/>
      <c r="F1" s="143"/>
      <c r="G1" s="143"/>
      <c r="H1" s="143"/>
    </row>
    <row r="2" spans="1:9" ht="21.75" customHeight="1" x14ac:dyDescent="0.2">
      <c r="A2" s="99" t="s">
        <v>44</v>
      </c>
      <c r="B2" s="144" t="s">
        <v>569</v>
      </c>
      <c r="C2" s="144"/>
      <c r="D2" s="144"/>
      <c r="E2" s="144"/>
      <c r="F2" s="144"/>
      <c r="G2" s="144"/>
      <c r="H2" s="144"/>
    </row>
    <row r="3" spans="1:9" ht="21.75" customHeight="1" x14ac:dyDescent="0.2">
      <c r="A3" s="99" t="s">
        <v>46</v>
      </c>
      <c r="B3" s="144" t="s">
        <v>568</v>
      </c>
      <c r="C3" s="144"/>
      <c r="D3" s="144"/>
      <c r="E3" s="144"/>
      <c r="F3" s="144"/>
      <c r="G3" s="144"/>
      <c r="H3" s="144"/>
    </row>
    <row r="4" spans="1:9" ht="21.75" customHeight="1" x14ac:dyDescent="0.2">
      <c r="A4" s="99" t="s">
        <v>48</v>
      </c>
      <c r="B4" s="144" t="s">
        <v>567</v>
      </c>
      <c r="C4" s="144"/>
      <c r="D4" s="144"/>
      <c r="E4" s="144"/>
      <c r="F4" s="144"/>
      <c r="G4" s="144"/>
      <c r="H4" s="144"/>
    </row>
    <row r="5" spans="1:9" ht="21.75" customHeight="1" x14ac:dyDescent="0.2">
      <c r="A5" s="99" t="s">
        <v>50</v>
      </c>
      <c r="B5" s="144" t="s">
        <v>566</v>
      </c>
      <c r="C5" s="144"/>
      <c r="D5" s="144"/>
      <c r="E5" s="144"/>
      <c r="F5" s="144"/>
      <c r="G5" s="144"/>
      <c r="H5" s="144"/>
    </row>
    <row r="6" spans="1:9" ht="79.5" customHeight="1" x14ac:dyDescent="0.2">
      <c r="A6" s="32" t="s">
        <v>52</v>
      </c>
      <c r="B6" s="33" t="s">
        <v>53</v>
      </c>
      <c r="C6" s="145" t="s">
        <v>54</v>
      </c>
      <c r="D6" s="145"/>
      <c r="E6" s="146" t="s">
        <v>55</v>
      </c>
      <c r="F6" s="146"/>
      <c r="G6" s="32" t="s">
        <v>56</v>
      </c>
      <c r="H6" s="34" t="s">
        <v>55</v>
      </c>
    </row>
    <row r="7" spans="1:9" ht="7.5" customHeight="1" x14ac:dyDescent="0.2"/>
    <row r="8" spans="1:9" ht="15" customHeight="1" x14ac:dyDescent="0.2">
      <c r="A8" s="140" t="s">
        <v>565</v>
      </c>
      <c r="B8" s="140"/>
      <c r="C8" s="140"/>
      <c r="D8" s="140"/>
      <c r="E8" s="140"/>
      <c r="F8" s="140"/>
      <c r="G8" s="140"/>
      <c r="H8" s="140"/>
      <c r="I8" s="140"/>
    </row>
    <row r="9" spans="1:9" ht="30" customHeight="1" x14ac:dyDescent="0.2">
      <c r="B9" s="35" t="s">
        <v>564</v>
      </c>
      <c r="C9" s="36" t="s">
        <v>273</v>
      </c>
      <c r="D9" s="36" t="s">
        <v>555</v>
      </c>
      <c r="E9" s="36" t="s">
        <v>293</v>
      </c>
      <c r="F9" s="36" t="s">
        <v>554</v>
      </c>
      <c r="G9" s="36" t="s">
        <v>553</v>
      </c>
      <c r="H9" s="36" t="s">
        <v>552</v>
      </c>
      <c r="I9" s="37" t="s">
        <v>563</v>
      </c>
    </row>
    <row r="10" spans="1:9" ht="15" customHeight="1" x14ac:dyDescent="0.2">
      <c r="B10" s="89" t="s">
        <v>228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39">
        <v>0</v>
      </c>
      <c r="I10" s="98">
        <f t="shared" ref="I10:I17" si="0">MAX(C10:H10)</f>
        <v>0</v>
      </c>
    </row>
    <row r="11" spans="1:9" ht="15" customHeight="1" x14ac:dyDescent="0.2">
      <c r="B11" s="89" t="s">
        <v>215</v>
      </c>
      <c r="C11" s="39">
        <v>2</v>
      </c>
      <c r="D11" s="39">
        <v>0</v>
      </c>
      <c r="E11" s="39">
        <v>0</v>
      </c>
      <c r="F11" s="39">
        <v>0</v>
      </c>
      <c r="G11" s="39">
        <v>0</v>
      </c>
      <c r="H11" s="39">
        <v>0</v>
      </c>
      <c r="I11" s="98">
        <f t="shared" si="0"/>
        <v>2</v>
      </c>
    </row>
    <row r="12" spans="1:9" ht="15" customHeight="1" x14ac:dyDescent="0.2">
      <c r="B12" s="89" t="s">
        <v>214</v>
      </c>
      <c r="C12" s="39">
        <v>3</v>
      </c>
      <c r="D12" s="39">
        <v>0</v>
      </c>
      <c r="E12" s="39">
        <v>0</v>
      </c>
      <c r="F12" s="39">
        <v>0</v>
      </c>
      <c r="G12" s="39">
        <v>0</v>
      </c>
      <c r="H12" s="39">
        <v>0</v>
      </c>
      <c r="I12" s="98">
        <f t="shared" si="0"/>
        <v>3</v>
      </c>
    </row>
    <row r="13" spans="1:9" ht="15" customHeight="1" x14ac:dyDescent="0.2">
      <c r="B13" s="89" t="s">
        <v>226</v>
      </c>
      <c r="C13" s="39">
        <v>1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98">
        <f t="shared" si="0"/>
        <v>1</v>
      </c>
    </row>
    <row r="14" spans="1:9" ht="15" customHeight="1" x14ac:dyDescent="0.2">
      <c r="B14" s="89" t="s">
        <v>213</v>
      </c>
      <c r="C14" s="39">
        <v>0</v>
      </c>
      <c r="D14" s="39">
        <v>1</v>
      </c>
      <c r="E14" s="39">
        <v>2</v>
      </c>
      <c r="F14" s="39">
        <v>0</v>
      </c>
      <c r="G14" s="39">
        <v>0</v>
      </c>
      <c r="H14" s="39">
        <v>0</v>
      </c>
      <c r="I14" s="98">
        <f t="shared" si="0"/>
        <v>2</v>
      </c>
    </row>
    <row r="15" spans="1:9" ht="15" customHeight="1" x14ac:dyDescent="0.2">
      <c r="B15" s="89" t="s">
        <v>225</v>
      </c>
      <c r="C15" s="39">
        <v>0</v>
      </c>
      <c r="D15" s="39">
        <v>0</v>
      </c>
      <c r="E15" s="39">
        <v>0</v>
      </c>
      <c r="F15" s="39">
        <v>1</v>
      </c>
      <c r="G15" s="39">
        <v>0</v>
      </c>
      <c r="H15" s="39">
        <v>0</v>
      </c>
      <c r="I15" s="98">
        <f t="shared" si="0"/>
        <v>1</v>
      </c>
    </row>
    <row r="16" spans="1:9" ht="15" customHeight="1" x14ac:dyDescent="0.2">
      <c r="B16" s="89" t="s">
        <v>212</v>
      </c>
      <c r="C16" s="39">
        <v>0</v>
      </c>
      <c r="D16" s="39">
        <v>0</v>
      </c>
      <c r="E16" s="39">
        <v>0</v>
      </c>
      <c r="F16" s="39">
        <v>0</v>
      </c>
      <c r="G16" s="39">
        <v>2</v>
      </c>
      <c r="H16" s="39">
        <v>1</v>
      </c>
      <c r="I16" s="98">
        <f t="shared" si="0"/>
        <v>2</v>
      </c>
    </row>
    <row r="17" spans="1:9" ht="15" customHeight="1" x14ac:dyDescent="0.2">
      <c r="B17" s="97" t="s">
        <v>224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2</v>
      </c>
      <c r="I17" s="96">
        <f t="shared" si="0"/>
        <v>2</v>
      </c>
    </row>
    <row r="19" spans="1:9" ht="15" customHeight="1" x14ac:dyDescent="0.2">
      <c r="A19" s="140" t="s">
        <v>562</v>
      </c>
      <c r="B19" s="140"/>
      <c r="C19" s="140"/>
      <c r="D19" s="140"/>
      <c r="E19" s="140"/>
      <c r="F19" s="140"/>
      <c r="G19" s="140"/>
      <c r="H19" s="140"/>
      <c r="I19" s="140"/>
    </row>
    <row r="20" spans="1:9" ht="41" customHeight="1" x14ac:dyDescent="0.2">
      <c r="B20" s="55" t="s">
        <v>561</v>
      </c>
      <c r="C20" s="57" t="str">
        <f>IF(MAX(F10:F17)&gt;=2,"YES","NO")</f>
        <v>NO</v>
      </c>
    </row>
    <row r="21" spans="1:9" ht="15" customHeight="1" x14ac:dyDescent="0.2">
      <c r="B21" s="55" t="s">
        <v>560</v>
      </c>
      <c r="C21" s="57" t="str">
        <f>IF('3_P0_Readiness'!C37&lt;3,"YES","NO")</f>
        <v>NO</v>
      </c>
    </row>
    <row r="22" spans="1:9" ht="15" customHeight="1" x14ac:dyDescent="0.2">
      <c r="B22" s="55" t="s">
        <v>559</v>
      </c>
      <c r="C22" s="150" t="str">
        <f>IF(AND(C20="YES",C21="YES"),"⚠ Gate triggered — downgrade or override required","Pass")</f>
        <v>Pass</v>
      </c>
      <c r="D22" s="150"/>
      <c r="E22" s="150"/>
      <c r="F22" s="150"/>
      <c r="G22" s="150"/>
      <c r="H22" s="150"/>
      <c r="I22" s="150"/>
    </row>
    <row r="24" spans="1:9" ht="30" customHeight="1" x14ac:dyDescent="0.2">
      <c r="B24" s="55" t="s">
        <v>558</v>
      </c>
      <c r="C24" s="151"/>
      <c r="D24" s="151"/>
      <c r="E24" s="151"/>
      <c r="F24" s="151"/>
      <c r="G24" s="151"/>
      <c r="H24" s="151"/>
      <c r="I24" s="151"/>
    </row>
    <row r="25" spans="1:9" ht="60" customHeight="1" x14ac:dyDescent="0.2">
      <c r="B25" s="149"/>
      <c r="C25" s="149"/>
      <c r="D25" s="149"/>
      <c r="E25" s="149"/>
      <c r="F25" s="149"/>
      <c r="G25" s="149"/>
      <c r="H25" s="149"/>
      <c r="I25" s="149"/>
    </row>
  </sheetData>
  <mergeCells count="12">
    <mergeCell ref="A1:H1"/>
    <mergeCell ref="B2:H2"/>
    <mergeCell ref="B3:H3"/>
    <mergeCell ref="B4:H4"/>
    <mergeCell ref="B5:H5"/>
    <mergeCell ref="B25:I25"/>
    <mergeCell ref="C6:D6"/>
    <mergeCell ref="E6:F6"/>
    <mergeCell ref="A8:I8"/>
    <mergeCell ref="A19:I19"/>
    <mergeCell ref="C22:I22"/>
    <mergeCell ref="C24:I24"/>
  </mergeCells>
  <conditionalFormatting sqref="B6">
    <cfRule type="cellIs" dxfId="35" priority="1" operator="equal">
      <formula>"Signed off"</formula>
    </cfRule>
    <cfRule type="cellIs" dxfId="34" priority="2" operator="equal">
      <formula>"In review"</formula>
    </cfRule>
  </conditionalFormatting>
  <conditionalFormatting sqref="C22">
    <cfRule type="expression" dxfId="33" priority="4">
      <formula>ISNUMBER(SEARCH("triggered",C22))</formula>
    </cfRule>
    <cfRule type="cellIs" dxfId="32" priority="5" operator="equal">
      <formula>"Pass"</formula>
    </cfRule>
  </conditionalFormatting>
  <conditionalFormatting sqref="C10:H17">
    <cfRule type="colorScale" priority="3">
      <colorScale>
        <cfvo type="num" val="0"/>
        <cfvo type="num" val="2"/>
        <cfvo type="num" val="3"/>
        <color rgb="FFFFFFFF"/>
        <color rgb="FFFFEB9C"/>
        <color rgb="FFFFC7CE"/>
      </colorScale>
    </cfRule>
  </conditionalFormatting>
  <dataValidations count="3">
    <dataValidation type="list" sqref="C10:H17" xr:uid="{00000000-0002-0000-0500-000002000000}">
      <formula1>"0,1,2,3"</formula1>
      <formula2>0</formula2>
    </dataValidation>
    <dataValidation type="date" operator="greaterThan" allowBlank="1" errorTitle="Invalid date" error="Enter a valid date" sqref="H6" xr:uid="{00000000-0002-0000-0500-000001000000}">
      <formula1>2020-1-1</formula1>
      <formula2>0</formula2>
    </dataValidation>
    <dataValidation type="list" sqref="B6" xr:uid="{00000000-0002-0000-0500-000000000000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3C14-D9D0-D64A-B5BC-BEC99CDBA83F}">
  <sheetPr>
    <pageSetUpPr fitToPage="1"/>
  </sheetPr>
  <dimension ref="A1:L40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14" style="2" customWidth="1"/>
    <col min="2" max="2" width="22" style="2" customWidth="1"/>
    <col min="3" max="3" width="24" style="2" customWidth="1"/>
    <col min="4" max="4" width="26" style="2" customWidth="1"/>
    <col min="5" max="7" width="10" style="2" customWidth="1"/>
    <col min="8" max="10" width="8" style="2" customWidth="1"/>
    <col min="11" max="11" width="12.6640625" style="2" customWidth="1"/>
    <col min="12" max="12" width="22" style="2" customWidth="1"/>
    <col min="13" max="16384" width="8.6640625" style="2"/>
  </cols>
  <sheetData>
    <row r="1" spans="1:12" ht="31.5" customHeight="1" x14ac:dyDescent="0.2">
      <c r="A1" s="143" t="s">
        <v>625</v>
      </c>
      <c r="B1" s="143"/>
      <c r="C1" s="143"/>
      <c r="D1" s="143"/>
      <c r="E1" s="143"/>
      <c r="F1" s="143"/>
      <c r="G1" s="143"/>
      <c r="H1" s="143"/>
    </row>
    <row r="2" spans="1:12" ht="39" customHeight="1" x14ac:dyDescent="0.2">
      <c r="A2" s="99" t="s">
        <v>44</v>
      </c>
      <c r="B2" s="144" t="s">
        <v>624</v>
      </c>
      <c r="C2" s="144"/>
      <c r="D2" s="144"/>
      <c r="E2" s="144"/>
      <c r="F2" s="144"/>
      <c r="G2" s="144"/>
      <c r="H2" s="144"/>
    </row>
    <row r="3" spans="1:12" ht="21.75" customHeight="1" x14ac:dyDescent="0.2">
      <c r="A3" s="99" t="s">
        <v>46</v>
      </c>
      <c r="B3" s="144" t="s">
        <v>623</v>
      </c>
      <c r="C3" s="144"/>
      <c r="D3" s="144"/>
      <c r="E3" s="144"/>
      <c r="F3" s="144"/>
      <c r="G3" s="144"/>
      <c r="H3" s="144"/>
    </row>
    <row r="4" spans="1:12" ht="21.75" customHeight="1" x14ac:dyDescent="0.2">
      <c r="A4" s="99" t="s">
        <v>48</v>
      </c>
      <c r="B4" s="144" t="s">
        <v>622</v>
      </c>
      <c r="C4" s="144"/>
      <c r="D4" s="144"/>
      <c r="E4" s="144"/>
      <c r="F4" s="144"/>
      <c r="G4" s="144"/>
      <c r="H4" s="144"/>
    </row>
    <row r="5" spans="1:12" ht="21.75" customHeight="1" x14ac:dyDescent="0.2">
      <c r="A5" s="99" t="s">
        <v>50</v>
      </c>
      <c r="B5" s="144" t="s">
        <v>621</v>
      </c>
      <c r="C5" s="144"/>
      <c r="D5" s="144"/>
      <c r="E5" s="144"/>
      <c r="F5" s="144"/>
      <c r="G5" s="144"/>
      <c r="H5" s="144"/>
    </row>
    <row r="6" spans="1:12" ht="79.5" customHeight="1" x14ac:dyDescent="0.2">
      <c r="A6" s="32" t="s">
        <v>52</v>
      </c>
      <c r="B6" s="33" t="s">
        <v>53</v>
      </c>
      <c r="C6" s="145" t="s">
        <v>54</v>
      </c>
      <c r="D6" s="145"/>
      <c r="E6" s="146" t="s">
        <v>55</v>
      </c>
      <c r="F6" s="146"/>
      <c r="G6" s="32" t="s">
        <v>56</v>
      </c>
      <c r="H6" s="34" t="s">
        <v>55</v>
      </c>
    </row>
    <row r="7" spans="1:12" ht="7.5" customHeight="1" x14ac:dyDescent="0.2"/>
    <row r="8" spans="1:12" ht="55.5" customHeight="1" x14ac:dyDescent="0.2">
      <c r="A8" s="152" t="s">
        <v>620</v>
      </c>
      <c r="B8" s="152"/>
      <c r="C8" s="152"/>
      <c r="D8" s="152"/>
      <c r="E8" s="152"/>
      <c r="F8" s="152"/>
      <c r="G8" s="152"/>
      <c r="H8" s="152"/>
      <c r="I8" s="152"/>
      <c r="J8" s="152"/>
      <c r="K8" s="152"/>
      <c r="L8" s="152"/>
    </row>
    <row r="10" spans="1:12" ht="15" customHeight="1" x14ac:dyDescent="0.2">
      <c r="A10" s="140" t="s">
        <v>103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</row>
    <row r="11" spans="1:12" ht="26.25" customHeight="1" x14ac:dyDescent="0.2">
      <c r="B11" s="35" t="s">
        <v>305</v>
      </c>
      <c r="C11" s="36" t="s">
        <v>619</v>
      </c>
      <c r="D11" s="36" t="s">
        <v>618</v>
      </c>
      <c r="E11" s="36" t="s">
        <v>617</v>
      </c>
      <c r="F11" s="36" t="s">
        <v>616</v>
      </c>
      <c r="G11" s="36" t="s">
        <v>615</v>
      </c>
      <c r="H11" s="36" t="s">
        <v>614</v>
      </c>
      <c r="I11" s="36" t="s">
        <v>613</v>
      </c>
      <c r="J11" s="36" t="s">
        <v>612</v>
      </c>
      <c r="K11" s="36" t="s">
        <v>247</v>
      </c>
      <c r="L11" s="37" t="s">
        <v>611</v>
      </c>
    </row>
    <row r="12" spans="1:12" ht="42" customHeight="1" x14ac:dyDescent="0.2">
      <c r="B12" s="38" t="s">
        <v>290</v>
      </c>
      <c r="C12" s="59" t="s">
        <v>610</v>
      </c>
      <c r="D12" s="59" t="s">
        <v>609</v>
      </c>
      <c r="E12" s="39">
        <v>5</v>
      </c>
      <c r="F12" s="39">
        <v>4</v>
      </c>
      <c r="G12" s="39">
        <v>5</v>
      </c>
      <c r="H12" s="104">
        <v>0.4</v>
      </c>
      <c r="I12" s="104">
        <v>0.4</v>
      </c>
      <c r="J12" s="104">
        <v>0.2</v>
      </c>
      <c r="K12" s="73">
        <f t="shared" ref="K12:K21" si="0">E12*H12+F12*I12+G12*J12</f>
        <v>4.5999999999999996</v>
      </c>
      <c r="L12" s="81" t="str">
        <f t="shared" ref="L12:L21" si="1">IF(K12&gt;=4,"Use as criterion",IF(K12&gt;=3,"Use for verification","Market exploration only"))</f>
        <v>Use as criterion</v>
      </c>
    </row>
    <row r="13" spans="1:12" ht="42" customHeight="1" x14ac:dyDescent="0.2">
      <c r="B13" s="38" t="s">
        <v>295</v>
      </c>
      <c r="C13" s="59" t="s">
        <v>608</v>
      </c>
      <c r="D13" s="59" t="s">
        <v>607</v>
      </c>
      <c r="E13" s="39">
        <v>5</v>
      </c>
      <c r="F13" s="39">
        <v>4</v>
      </c>
      <c r="G13" s="39">
        <v>4</v>
      </c>
      <c r="H13" s="104">
        <v>0.4</v>
      </c>
      <c r="I13" s="104">
        <v>0.4</v>
      </c>
      <c r="J13" s="104">
        <v>0.2</v>
      </c>
      <c r="K13" s="73">
        <f t="shared" si="0"/>
        <v>4.4000000000000004</v>
      </c>
      <c r="L13" s="81" t="str">
        <f t="shared" si="1"/>
        <v>Use as criterion</v>
      </c>
    </row>
    <row r="14" spans="1:12" ht="42" customHeight="1" x14ac:dyDescent="0.2">
      <c r="B14" s="38" t="s">
        <v>586</v>
      </c>
      <c r="C14" s="59" t="s">
        <v>606</v>
      </c>
      <c r="D14" s="59" t="s">
        <v>605</v>
      </c>
      <c r="E14" s="39">
        <v>4</v>
      </c>
      <c r="F14" s="39">
        <v>3</v>
      </c>
      <c r="G14" s="39">
        <v>3</v>
      </c>
      <c r="H14" s="104">
        <v>0.4</v>
      </c>
      <c r="I14" s="104">
        <v>0.4</v>
      </c>
      <c r="J14" s="104">
        <v>0.2</v>
      </c>
      <c r="K14" s="73">
        <f t="shared" si="0"/>
        <v>3.4000000000000004</v>
      </c>
      <c r="L14" s="81" t="str">
        <f t="shared" si="1"/>
        <v>Use for verification</v>
      </c>
    </row>
    <row r="15" spans="1:12" ht="42" customHeight="1" x14ac:dyDescent="0.2">
      <c r="B15" s="38" t="s">
        <v>270</v>
      </c>
      <c r="C15" s="59" t="s">
        <v>604</v>
      </c>
      <c r="D15" s="59" t="s">
        <v>603</v>
      </c>
      <c r="E15" s="39">
        <v>4</v>
      </c>
      <c r="F15" s="39">
        <v>3</v>
      </c>
      <c r="G15" s="39">
        <v>4</v>
      </c>
      <c r="H15" s="104">
        <v>0.4</v>
      </c>
      <c r="I15" s="104">
        <v>0.4</v>
      </c>
      <c r="J15" s="104">
        <v>0.2</v>
      </c>
      <c r="K15" s="73">
        <f t="shared" si="0"/>
        <v>3.6000000000000005</v>
      </c>
      <c r="L15" s="81" t="str">
        <f t="shared" si="1"/>
        <v>Use for verification</v>
      </c>
    </row>
    <row r="16" spans="1:12" ht="42" customHeight="1" x14ac:dyDescent="0.2">
      <c r="B16" s="38" t="s">
        <v>281</v>
      </c>
      <c r="C16" s="59" t="s">
        <v>602</v>
      </c>
      <c r="D16" s="59" t="s">
        <v>601</v>
      </c>
      <c r="E16" s="39">
        <v>4</v>
      </c>
      <c r="F16" s="39">
        <v>4</v>
      </c>
      <c r="G16" s="39">
        <v>4</v>
      </c>
      <c r="H16" s="104">
        <v>0.4</v>
      </c>
      <c r="I16" s="104">
        <v>0.4</v>
      </c>
      <c r="J16" s="104">
        <v>0.2</v>
      </c>
      <c r="K16" s="73">
        <f t="shared" si="0"/>
        <v>4</v>
      </c>
      <c r="L16" s="81" t="str">
        <f t="shared" si="1"/>
        <v>Use as criterion</v>
      </c>
    </row>
    <row r="17" spans="1:12" ht="42" customHeight="1" x14ac:dyDescent="0.2">
      <c r="B17" s="38" t="s">
        <v>275</v>
      </c>
      <c r="C17" s="59" t="s">
        <v>600</v>
      </c>
      <c r="D17" s="59" t="s">
        <v>599</v>
      </c>
      <c r="E17" s="39">
        <v>4</v>
      </c>
      <c r="F17" s="39">
        <v>4</v>
      </c>
      <c r="G17" s="39">
        <v>4</v>
      </c>
      <c r="H17" s="104">
        <v>0.4</v>
      </c>
      <c r="I17" s="104">
        <v>0.4</v>
      </c>
      <c r="J17" s="104">
        <v>0.2</v>
      </c>
      <c r="K17" s="73">
        <f t="shared" si="0"/>
        <v>4</v>
      </c>
      <c r="L17" s="81" t="str">
        <f t="shared" si="1"/>
        <v>Use as criterion</v>
      </c>
    </row>
    <row r="18" spans="1:12" ht="42" customHeight="1" x14ac:dyDescent="0.2">
      <c r="B18" s="38" t="s">
        <v>286</v>
      </c>
      <c r="C18" s="59" t="s">
        <v>598</v>
      </c>
      <c r="D18" s="59" t="s">
        <v>597</v>
      </c>
      <c r="E18" s="39">
        <v>4</v>
      </c>
      <c r="F18" s="39">
        <v>3</v>
      </c>
      <c r="G18" s="39">
        <v>3</v>
      </c>
      <c r="H18" s="104">
        <v>0.4</v>
      </c>
      <c r="I18" s="104">
        <v>0.4</v>
      </c>
      <c r="J18" s="104">
        <v>0.2</v>
      </c>
      <c r="K18" s="73">
        <f t="shared" si="0"/>
        <v>3.4000000000000004</v>
      </c>
      <c r="L18" s="81" t="str">
        <f t="shared" si="1"/>
        <v>Use for verification</v>
      </c>
    </row>
    <row r="19" spans="1:12" ht="42" customHeight="1" x14ac:dyDescent="0.2">
      <c r="B19" s="38" t="s">
        <v>580</v>
      </c>
      <c r="C19" s="59" t="s">
        <v>596</v>
      </c>
      <c r="D19" s="59" t="s">
        <v>595</v>
      </c>
      <c r="E19" s="39">
        <v>4</v>
      </c>
      <c r="F19" s="39">
        <v>4</v>
      </c>
      <c r="G19" s="39">
        <v>3</v>
      </c>
      <c r="H19" s="104">
        <v>0.4</v>
      </c>
      <c r="I19" s="104">
        <v>0.4</v>
      </c>
      <c r="J19" s="104">
        <v>0.2</v>
      </c>
      <c r="K19" s="73">
        <f t="shared" si="0"/>
        <v>3.8000000000000003</v>
      </c>
      <c r="L19" s="81" t="str">
        <f t="shared" si="1"/>
        <v>Use for verification</v>
      </c>
    </row>
    <row r="20" spans="1:12" ht="42" customHeight="1" x14ac:dyDescent="0.2">
      <c r="B20" s="38" t="s">
        <v>578</v>
      </c>
      <c r="C20" s="59" t="s">
        <v>594</v>
      </c>
      <c r="D20" s="59" t="s">
        <v>593</v>
      </c>
      <c r="E20" s="39">
        <v>3</v>
      </c>
      <c r="F20" s="39">
        <v>3</v>
      </c>
      <c r="G20" s="39">
        <v>3</v>
      </c>
      <c r="H20" s="104">
        <v>0.4</v>
      </c>
      <c r="I20" s="104">
        <v>0.4</v>
      </c>
      <c r="J20" s="104">
        <v>0.2</v>
      </c>
      <c r="K20" s="73">
        <f t="shared" si="0"/>
        <v>3.0000000000000004</v>
      </c>
      <c r="L20" s="81" t="str">
        <f t="shared" si="1"/>
        <v>Use for verification</v>
      </c>
    </row>
    <row r="21" spans="1:12" ht="42" customHeight="1" x14ac:dyDescent="0.2">
      <c r="B21" s="41" t="s">
        <v>576</v>
      </c>
      <c r="C21" s="103" t="s">
        <v>592</v>
      </c>
      <c r="D21" s="103" t="s">
        <v>591</v>
      </c>
      <c r="E21" s="43">
        <v>3</v>
      </c>
      <c r="F21" s="43">
        <v>4</v>
      </c>
      <c r="G21" s="43">
        <v>3</v>
      </c>
      <c r="H21" s="102">
        <v>0.4</v>
      </c>
      <c r="I21" s="102">
        <v>0.4</v>
      </c>
      <c r="J21" s="102">
        <v>0.2</v>
      </c>
      <c r="K21" s="101">
        <f t="shared" si="0"/>
        <v>3.4000000000000004</v>
      </c>
      <c r="L21" s="100" t="str">
        <f t="shared" si="1"/>
        <v>Use for verification</v>
      </c>
    </row>
    <row r="23" spans="1:12" ht="15" customHeight="1" x14ac:dyDescent="0.2">
      <c r="A23" s="140" t="s">
        <v>590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</row>
    <row r="24" spans="1:12" ht="15" customHeight="1" x14ac:dyDescent="0.2">
      <c r="B24" s="55" t="s">
        <v>589</v>
      </c>
      <c r="C24" s="148" t="s">
        <v>588</v>
      </c>
      <c r="D24" s="148"/>
      <c r="E24" s="148"/>
      <c r="F24" s="148"/>
      <c r="G24" s="148"/>
      <c r="H24" s="148"/>
      <c r="I24" s="148"/>
      <c r="J24" s="148"/>
      <c r="K24" s="148"/>
      <c r="L24" s="148"/>
    </row>
    <row r="25" spans="1:12" ht="24" customHeight="1" x14ac:dyDescent="0.2">
      <c r="B25" s="59" t="s">
        <v>290</v>
      </c>
      <c r="C25" s="134" t="s">
        <v>587</v>
      </c>
      <c r="D25" s="134"/>
      <c r="E25" s="134"/>
      <c r="F25" s="134"/>
      <c r="G25" s="134"/>
      <c r="H25" s="134"/>
      <c r="I25" s="134"/>
      <c r="J25" s="134"/>
      <c r="K25" s="134"/>
      <c r="L25" s="134"/>
    </row>
    <row r="26" spans="1:12" ht="31" customHeight="1" x14ac:dyDescent="0.2">
      <c r="B26" s="59" t="s">
        <v>295</v>
      </c>
      <c r="C26" s="134"/>
      <c r="D26" s="134"/>
      <c r="E26" s="134"/>
      <c r="F26" s="134"/>
      <c r="G26" s="134"/>
      <c r="H26" s="134"/>
      <c r="I26" s="134"/>
      <c r="J26" s="134"/>
      <c r="K26" s="134"/>
      <c r="L26" s="134"/>
    </row>
    <row r="27" spans="1:12" ht="36" customHeight="1" x14ac:dyDescent="0.2">
      <c r="B27" s="59" t="s">
        <v>586</v>
      </c>
      <c r="C27" s="134" t="s">
        <v>585</v>
      </c>
      <c r="D27" s="134"/>
      <c r="E27" s="134"/>
      <c r="F27" s="134"/>
      <c r="G27" s="134"/>
      <c r="H27" s="134"/>
      <c r="I27" s="134"/>
      <c r="J27" s="134"/>
      <c r="K27" s="134"/>
      <c r="L27" s="134"/>
    </row>
    <row r="28" spans="1:12" ht="21.75" customHeight="1" x14ac:dyDescent="0.2">
      <c r="B28" s="59" t="s">
        <v>270</v>
      </c>
      <c r="C28" s="134" t="s">
        <v>584</v>
      </c>
      <c r="D28" s="134"/>
      <c r="E28" s="134"/>
      <c r="F28" s="134"/>
      <c r="G28" s="134"/>
      <c r="H28" s="134"/>
      <c r="I28" s="134"/>
      <c r="J28" s="134"/>
      <c r="K28" s="134"/>
      <c r="L28" s="134"/>
    </row>
    <row r="29" spans="1:12" ht="34" customHeight="1" x14ac:dyDescent="0.2">
      <c r="B29" s="59" t="s">
        <v>281</v>
      </c>
      <c r="C29" s="134" t="s">
        <v>583</v>
      </c>
      <c r="D29" s="134"/>
      <c r="E29" s="134"/>
      <c r="F29" s="134"/>
      <c r="G29" s="134"/>
      <c r="H29" s="134"/>
      <c r="I29" s="134"/>
      <c r="J29" s="134"/>
      <c r="K29" s="134"/>
      <c r="L29" s="134"/>
    </row>
    <row r="30" spans="1:12" ht="28" customHeight="1" x14ac:dyDescent="0.2">
      <c r="B30" s="59" t="s">
        <v>275</v>
      </c>
      <c r="C30" s="134" t="s">
        <v>582</v>
      </c>
      <c r="D30" s="134"/>
      <c r="E30" s="134"/>
      <c r="F30" s="134"/>
      <c r="G30" s="134"/>
      <c r="H30" s="134"/>
      <c r="I30" s="134"/>
      <c r="J30" s="134"/>
      <c r="K30" s="134"/>
      <c r="L30" s="134"/>
    </row>
    <row r="31" spans="1:12" ht="21.75" customHeight="1" x14ac:dyDescent="0.2">
      <c r="B31" s="59" t="s">
        <v>286</v>
      </c>
      <c r="C31" s="134" t="s">
        <v>581</v>
      </c>
      <c r="D31" s="134"/>
      <c r="E31" s="134"/>
      <c r="F31" s="134"/>
      <c r="G31" s="134"/>
      <c r="H31" s="134"/>
      <c r="I31" s="134"/>
      <c r="J31" s="134"/>
      <c r="K31" s="134"/>
      <c r="L31" s="134"/>
    </row>
    <row r="32" spans="1:12" ht="31" customHeight="1" x14ac:dyDescent="0.2">
      <c r="B32" s="59" t="s">
        <v>580</v>
      </c>
      <c r="C32" s="134" t="s">
        <v>579</v>
      </c>
      <c r="D32" s="134"/>
      <c r="E32" s="134"/>
      <c r="F32" s="134"/>
      <c r="G32" s="134"/>
      <c r="H32" s="134"/>
      <c r="I32" s="134"/>
      <c r="J32" s="134"/>
      <c r="K32" s="134"/>
      <c r="L32" s="134"/>
    </row>
    <row r="33" spans="1:12" ht="21.75" customHeight="1" x14ac:dyDescent="0.2">
      <c r="B33" s="59" t="s">
        <v>578</v>
      </c>
      <c r="C33" s="134" t="s">
        <v>577</v>
      </c>
      <c r="D33" s="134"/>
      <c r="E33" s="134"/>
      <c r="F33" s="134"/>
      <c r="G33" s="134"/>
      <c r="H33" s="134"/>
      <c r="I33" s="134"/>
      <c r="J33" s="134"/>
      <c r="K33" s="134"/>
      <c r="L33" s="134"/>
    </row>
    <row r="34" spans="1:12" ht="40" customHeight="1" x14ac:dyDescent="0.2">
      <c r="B34" s="59" t="s">
        <v>576</v>
      </c>
      <c r="C34" s="134"/>
      <c r="D34" s="134"/>
      <c r="E34" s="134"/>
      <c r="F34" s="134"/>
      <c r="G34" s="134"/>
      <c r="H34" s="134"/>
      <c r="I34" s="134"/>
      <c r="J34" s="134"/>
      <c r="K34" s="134"/>
      <c r="L34" s="134"/>
    </row>
    <row r="36" spans="1:12" ht="15" customHeight="1" x14ac:dyDescent="0.2">
      <c r="A36" s="140" t="s">
        <v>575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</row>
    <row r="37" spans="1:12" ht="26.25" customHeight="1" x14ac:dyDescent="0.2">
      <c r="B37" s="55" t="s">
        <v>574</v>
      </c>
      <c r="C37" s="57">
        <f>COUNTIF(L12:L21,"Use as criterion")</f>
        <v>4</v>
      </c>
    </row>
    <row r="38" spans="1:12" ht="30" customHeight="1" x14ac:dyDescent="0.2">
      <c r="B38" s="55" t="s">
        <v>573</v>
      </c>
      <c r="C38" s="57">
        <f>COUNTIF(L12:L21,"Use for verification")</f>
        <v>6</v>
      </c>
    </row>
    <row r="39" spans="1:12" ht="30" customHeight="1" x14ac:dyDescent="0.2">
      <c r="B39" s="55" t="s">
        <v>572</v>
      </c>
      <c r="C39" s="57">
        <f>COUNTIF(L12:L21,"Market exploration only")</f>
        <v>0</v>
      </c>
    </row>
    <row r="40" spans="1:12" ht="26.25" customHeight="1" x14ac:dyDescent="0.2">
      <c r="B40" s="55" t="s">
        <v>571</v>
      </c>
      <c r="C40" s="74">
        <f>AVERAGE(K12:K21)</f>
        <v>3.7600000000000002</v>
      </c>
    </row>
  </sheetData>
  <mergeCells count="22">
    <mergeCell ref="C26:L26"/>
    <mergeCell ref="A1:H1"/>
    <mergeCell ref="B2:H2"/>
    <mergeCell ref="B3:H3"/>
    <mergeCell ref="B4:H4"/>
    <mergeCell ref="B5:H5"/>
    <mergeCell ref="C6:D6"/>
    <mergeCell ref="E6:F6"/>
    <mergeCell ref="A8:L8"/>
    <mergeCell ref="A10:L10"/>
    <mergeCell ref="A23:L23"/>
    <mergeCell ref="C24:L24"/>
    <mergeCell ref="C25:L25"/>
    <mergeCell ref="C27:L27"/>
    <mergeCell ref="C28:L28"/>
    <mergeCell ref="C34:L34"/>
    <mergeCell ref="A36:L36"/>
    <mergeCell ref="C29:L29"/>
    <mergeCell ref="C30:L30"/>
    <mergeCell ref="C31:L31"/>
    <mergeCell ref="C32:L32"/>
    <mergeCell ref="C33:L33"/>
  </mergeCells>
  <conditionalFormatting sqref="B6">
    <cfRule type="cellIs" dxfId="31" priority="1" operator="equal">
      <formula>"Signed off"</formula>
    </cfRule>
    <cfRule type="cellIs" dxfId="30" priority="2" operator="equal">
      <formula>"In review"</formula>
    </cfRule>
  </conditionalFormatting>
  <conditionalFormatting sqref="K12:K21">
    <cfRule type="colorScale" priority="6">
      <colorScale>
        <cfvo type="num" val="1"/>
        <cfvo type="num" val="3"/>
        <cfvo type="num" val="5"/>
        <color rgb="FFFFC7CE"/>
        <color rgb="FFFFEB9C"/>
        <color rgb="FFC6EFCE"/>
      </colorScale>
    </cfRule>
  </conditionalFormatting>
  <conditionalFormatting sqref="L12:L21">
    <cfRule type="cellIs" dxfId="29" priority="3" operator="equal">
      <formula>"Use as criterion"</formula>
    </cfRule>
    <cfRule type="cellIs" dxfId="28" priority="4" operator="equal">
      <formula>"Use for verification"</formula>
    </cfRule>
    <cfRule type="cellIs" dxfId="27" priority="5" operator="equal">
      <formula>"Market exploration only"</formula>
    </cfRule>
  </conditionalFormatting>
  <dataValidations count="3">
    <dataValidation type="list" sqref="E12:G21" xr:uid="{00000000-0002-0000-0600-000002000000}">
      <formula1>"1,2,3,4,5"</formula1>
      <formula2>0</formula2>
    </dataValidation>
    <dataValidation type="date" operator="greaterThan" allowBlank="1" errorTitle="Invalid date" error="Enter a valid date" sqref="H6" xr:uid="{00000000-0002-0000-0600-000001000000}">
      <formula1>2020-1-1</formula1>
      <formula2>0</formula2>
    </dataValidation>
    <dataValidation type="list" sqref="B6" xr:uid="{00000000-0002-0000-0600-000000000000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  <legacy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C889-78A8-B34F-8AB4-5921F3A4A878}">
  <sheetPr>
    <pageSetUpPr fitToPage="1"/>
  </sheetPr>
  <dimension ref="A1:K21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13.5" style="2" customWidth="1"/>
    <col min="2" max="3" width="24" style="2" customWidth="1"/>
    <col min="4" max="4" width="16" style="2" customWidth="1"/>
    <col min="5" max="5" width="14" style="2" customWidth="1"/>
    <col min="6" max="6" width="22" style="2" customWidth="1"/>
    <col min="7" max="7" width="14" style="2" customWidth="1"/>
    <col min="8" max="8" width="22" style="2" customWidth="1"/>
    <col min="9" max="10" width="14" style="2" customWidth="1"/>
    <col min="11" max="11" width="12" style="2" customWidth="1"/>
    <col min="12" max="16384" width="8.6640625" style="2"/>
  </cols>
  <sheetData>
    <row r="1" spans="1:11" ht="31.5" customHeight="1" x14ac:dyDescent="0.2">
      <c r="A1" s="143" t="s">
        <v>311</v>
      </c>
      <c r="B1" s="143"/>
      <c r="C1" s="143"/>
      <c r="D1" s="143"/>
      <c r="E1" s="143"/>
      <c r="F1" s="143"/>
      <c r="G1" s="143"/>
      <c r="H1" s="143"/>
    </row>
    <row r="2" spans="1:11" ht="21.75" customHeight="1" x14ac:dyDescent="0.2">
      <c r="A2" s="80" t="s">
        <v>44</v>
      </c>
      <c r="B2" s="144" t="s">
        <v>310</v>
      </c>
      <c r="C2" s="144"/>
      <c r="D2" s="144"/>
      <c r="E2" s="144"/>
      <c r="F2" s="144"/>
      <c r="G2" s="144"/>
      <c r="H2" s="144"/>
    </row>
    <row r="3" spans="1:11" ht="21.75" customHeight="1" x14ac:dyDescent="0.2">
      <c r="A3" s="80" t="s">
        <v>46</v>
      </c>
      <c r="B3" s="144" t="s">
        <v>309</v>
      </c>
      <c r="C3" s="144"/>
      <c r="D3" s="144"/>
      <c r="E3" s="144"/>
      <c r="F3" s="144"/>
      <c r="G3" s="144"/>
      <c r="H3" s="144"/>
    </row>
    <row r="4" spans="1:11" ht="21.75" customHeight="1" x14ac:dyDescent="0.2">
      <c r="A4" s="80" t="s">
        <v>48</v>
      </c>
      <c r="B4" s="144" t="s">
        <v>308</v>
      </c>
      <c r="C4" s="144"/>
      <c r="D4" s="144"/>
      <c r="E4" s="144"/>
      <c r="F4" s="144"/>
      <c r="G4" s="144"/>
      <c r="H4" s="144"/>
    </row>
    <row r="5" spans="1:11" ht="21.75" customHeight="1" x14ac:dyDescent="0.2">
      <c r="A5" s="80" t="s">
        <v>50</v>
      </c>
      <c r="B5" s="144" t="s">
        <v>307</v>
      </c>
      <c r="C5" s="144"/>
      <c r="D5" s="144"/>
      <c r="E5" s="144"/>
      <c r="F5" s="144"/>
      <c r="G5" s="144"/>
      <c r="H5" s="144"/>
    </row>
    <row r="6" spans="1:11" ht="79.5" customHeight="1" x14ac:dyDescent="0.2">
      <c r="A6" s="32" t="s">
        <v>52</v>
      </c>
      <c r="B6" s="33" t="s">
        <v>53</v>
      </c>
      <c r="C6" s="145" t="s">
        <v>54</v>
      </c>
      <c r="D6" s="145"/>
      <c r="E6" s="146" t="s">
        <v>55</v>
      </c>
      <c r="F6" s="146"/>
      <c r="G6" s="32" t="s">
        <v>56</v>
      </c>
      <c r="H6" s="34" t="s">
        <v>55</v>
      </c>
    </row>
    <row r="7" spans="1:11" ht="7.5" customHeight="1" x14ac:dyDescent="0.2"/>
    <row r="8" spans="1:11" ht="15" customHeight="1" x14ac:dyDescent="0.2">
      <c r="A8" s="140" t="s">
        <v>306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</row>
    <row r="9" spans="1:11" ht="30" customHeight="1" x14ac:dyDescent="0.2">
      <c r="B9" s="55" t="s">
        <v>305</v>
      </c>
      <c r="C9" s="55" t="s">
        <v>304</v>
      </c>
      <c r="D9" s="55" t="s">
        <v>303</v>
      </c>
      <c r="E9" s="55" t="s">
        <v>302</v>
      </c>
      <c r="F9" s="55" t="s">
        <v>301</v>
      </c>
      <c r="G9" s="55" t="s">
        <v>300</v>
      </c>
      <c r="H9" s="55" t="s">
        <v>299</v>
      </c>
      <c r="I9" s="55" t="s">
        <v>298</v>
      </c>
      <c r="J9" s="55" t="s">
        <v>297</v>
      </c>
      <c r="K9" s="55" t="s">
        <v>296</v>
      </c>
    </row>
    <row r="10" spans="1:11" ht="30" customHeight="1" x14ac:dyDescent="0.2">
      <c r="B10" s="28" t="s">
        <v>295</v>
      </c>
      <c r="C10" s="28" t="s">
        <v>294</v>
      </c>
      <c r="D10" s="28" t="s">
        <v>293</v>
      </c>
      <c r="E10" s="28" t="s">
        <v>267</v>
      </c>
      <c r="F10" s="28" t="s">
        <v>292</v>
      </c>
      <c r="G10" s="28" t="s">
        <v>265</v>
      </c>
      <c r="H10" s="28" t="s">
        <v>291</v>
      </c>
      <c r="I10" s="28" t="s">
        <v>74</v>
      </c>
      <c r="J10" s="75" t="s">
        <v>55</v>
      </c>
      <c r="K10" s="75" t="s">
        <v>276</v>
      </c>
    </row>
    <row r="11" spans="1:11" ht="30" customHeight="1" x14ac:dyDescent="0.2">
      <c r="B11" s="28" t="s">
        <v>290</v>
      </c>
      <c r="C11" s="28" t="s">
        <v>289</v>
      </c>
      <c r="D11" s="28" t="s">
        <v>273</v>
      </c>
      <c r="E11" s="28" t="s">
        <v>279</v>
      </c>
      <c r="F11" s="28" t="s">
        <v>288</v>
      </c>
      <c r="G11" s="28" t="s">
        <v>265</v>
      </c>
      <c r="H11" s="28" t="s">
        <v>287</v>
      </c>
      <c r="I11" s="28" t="s">
        <v>74</v>
      </c>
      <c r="J11" s="75" t="s">
        <v>55</v>
      </c>
      <c r="K11" s="75" t="s">
        <v>276</v>
      </c>
    </row>
    <row r="12" spans="1:11" ht="30" customHeight="1" x14ac:dyDescent="0.2">
      <c r="B12" s="28" t="s">
        <v>286</v>
      </c>
      <c r="C12" s="28" t="s">
        <v>285</v>
      </c>
      <c r="D12" s="28" t="s">
        <v>273</v>
      </c>
      <c r="E12" s="28" t="s">
        <v>284</v>
      </c>
      <c r="F12" s="28" t="s">
        <v>283</v>
      </c>
      <c r="G12" s="28" t="s">
        <v>265</v>
      </c>
      <c r="H12" s="28" t="s">
        <v>282</v>
      </c>
      <c r="I12" s="28" t="s">
        <v>74</v>
      </c>
      <c r="J12" s="75" t="s">
        <v>55</v>
      </c>
      <c r="K12" s="75" t="s">
        <v>53</v>
      </c>
    </row>
    <row r="13" spans="1:11" ht="30" customHeight="1" x14ac:dyDescent="0.2">
      <c r="B13" s="28" t="s">
        <v>281</v>
      </c>
      <c r="C13" s="28" t="s">
        <v>280</v>
      </c>
      <c r="D13" s="28" t="s">
        <v>273</v>
      </c>
      <c r="E13" s="28" t="s">
        <v>279</v>
      </c>
      <c r="F13" s="28" t="s">
        <v>278</v>
      </c>
      <c r="G13" s="28" t="s">
        <v>265</v>
      </c>
      <c r="H13" s="28" t="s">
        <v>277</v>
      </c>
      <c r="I13" s="28" t="s">
        <v>70</v>
      </c>
      <c r="J13" s="75" t="s">
        <v>55</v>
      </c>
      <c r="K13" s="75" t="s">
        <v>276</v>
      </c>
    </row>
    <row r="14" spans="1:11" ht="30" customHeight="1" x14ac:dyDescent="0.2">
      <c r="B14" s="28" t="s">
        <v>275</v>
      </c>
      <c r="C14" s="28" t="s">
        <v>274</v>
      </c>
      <c r="D14" s="28" t="s">
        <v>273</v>
      </c>
      <c r="E14" s="28" t="s">
        <v>267</v>
      </c>
      <c r="F14" s="28" t="s">
        <v>272</v>
      </c>
      <c r="G14" s="28" t="s">
        <v>265</v>
      </c>
      <c r="H14" s="28" t="s">
        <v>271</v>
      </c>
      <c r="I14" s="28" t="s">
        <v>74</v>
      </c>
      <c r="J14" s="75" t="s">
        <v>55</v>
      </c>
      <c r="K14" s="75" t="s">
        <v>53</v>
      </c>
    </row>
    <row r="15" spans="1:11" ht="30" customHeight="1" x14ac:dyDescent="0.2">
      <c r="B15" s="28" t="s">
        <v>270</v>
      </c>
      <c r="C15" s="28" t="s">
        <v>269</v>
      </c>
      <c r="D15" s="28" t="s">
        <v>268</v>
      </c>
      <c r="E15" s="28" t="s">
        <v>267</v>
      </c>
      <c r="F15" s="28" t="s">
        <v>266</v>
      </c>
      <c r="G15" s="28" t="s">
        <v>265</v>
      </c>
      <c r="H15" s="28" t="s">
        <v>264</v>
      </c>
      <c r="I15" s="28" t="s">
        <v>70</v>
      </c>
      <c r="J15" s="75" t="s">
        <v>55</v>
      </c>
      <c r="K15" s="75" t="s">
        <v>53</v>
      </c>
    </row>
    <row r="18" spans="1:11" ht="15" customHeight="1" x14ac:dyDescent="0.2">
      <c r="A18" s="140" t="s">
        <v>263</v>
      </c>
      <c r="B18" s="140"/>
      <c r="C18" s="140"/>
      <c r="D18" s="140"/>
      <c r="E18" s="140"/>
      <c r="F18" s="140"/>
      <c r="G18" s="140"/>
      <c r="H18" s="140"/>
      <c r="I18" s="140"/>
      <c r="J18" s="140"/>
      <c r="K18" s="140"/>
    </row>
    <row r="19" spans="1:11" ht="15" customHeight="1" x14ac:dyDescent="0.2">
      <c r="B19" s="55" t="s">
        <v>112</v>
      </c>
      <c r="C19" s="55" t="s">
        <v>113</v>
      </c>
    </row>
    <row r="20" spans="1:11" ht="30" customHeight="1" x14ac:dyDescent="0.2">
      <c r="B20" s="28" t="s">
        <v>262</v>
      </c>
      <c r="C20" s="57" t="str">
        <f>IF(SUMPRODUCT((K10:K30="Approved")*(G10:G30="Mismatch"))=0,"PASS","FAIL")</f>
        <v>PASS</v>
      </c>
    </row>
    <row r="21" spans="1:11" ht="30" customHeight="1" x14ac:dyDescent="0.2">
      <c r="B21" s="28" t="s">
        <v>261</v>
      </c>
      <c r="C21" s="79">
        <f>IFERROR(COUNTIF(K10:K30,"Approved")/COUNTA(B10:B30),0)</f>
        <v>0.33333333333333331</v>
      </c>
    </row>
  </sheetData>
  <mergeCells count="9">
    <mergeCell ref="C6:D6"/>
    <mergeCell ref="E6:F6"/>
    <mergeCell ref="A8:K8"/>
    <mergeCell ref="A18:K18"/>
    <mergeCell ref="A1:H1"/>
    <mergeCell ref="B2:H2"/>
    <mergeCell ref="B3:H3"/>
    <mergeCell ref="B4:H4"/>
    <mergeCell ref="B5:H5"/>
  </mergeCells>
  <conditionalFormatting sqref="B6">
    <cfRule type="cellIs" dxfId="26" priority="1" operator="equal">
      <formula>"Signed off"</formula>
    </cfRule>
    <cfRule type="cellIs" dxfId="25" priority="2" operator="equal">
      <formula>"In review"</formula>
    </cfRule>
  </conditionalFormatting>
  <conditionalFormatting sqref="C20">
    <cfRule type="cellIs" dxfId="24" priority="6" operator="equal">
      <formula>"PASS"</formula>
    </cfRule>
    <cfRule type="cellIs" dxfId="23" priority="7" operator="equal">
      <formula>"FAIL"</formula>
    </cfRule>
  </conditionalFormatting>
  <conditionalFormatting sqref="K10:K30">
    <cfRule type="cellIs" dxfId="22" priority="3" operator="equal">
      <formula>"Approved"</formula>
    </cfRule>
    <cfRule type="cellIs" dxfId="21" priority="4" operator="equal">
      <formula>"Rejected"</formula>
    </cfRule>
    <cfRule type="cellIs" dxfId="20" priority="5" operator="equal">
      <formula>"In review"</formula>
    </cfRule>
  </conditionalFormatting>
  <dataValidations count="6">
    <dataValidation type="list" sqref="K10:K30" xr:uid="{00000000-0002-0000-0700-000005000000}">
      <formula1>"Open,In review,Approved,Rejected"</formula1>
      <formula2>0</formula2>
    </dataValidation>
    <dataValidation type="list" sqref="G10:G30" xr:uid="{00000000-0002-0000-0700-000004000000}">
      <formula1>"OK,Conversion,Mismatch,N/A"</formula1>
      <formula2>0</formula2>
    </dataValidation>
    <dataValidation type="list" sqref="D10:D30" xr:uid="{00000000-0002-0000-0700-000003000000}">
      <formula1>"Specification,Exclusion,Qualification,Award,Award (gated),Contract clause,Monitoring"</formula1>
      <formula2>0</formula2>
    </dataValidation>
    <dataValidation type="list" sqref="E10:E30" xr:uid="{00000000-0002-0000-0700-000002000000}">
      <formula1>"Direct,Threshold,Derived,Composite,Qualitative"</formula1>
      <formula2>0</formula2>
    </dataValidation>
    <dataValidation type="date" operator="greaterThan" allowBlank="1" errorTitle="Invalid date" error="Enter a valid date" sqref="H6 J10:J30" xr:uid="{00000000-0002-0000-0700-000001000000}">
      <formula1>2020-1-1</formula1>
      <formula2>0</formula2>
    </dataValidation>
    <dataValidation type="list" sqref="B6" xr:uid="{00000000-0002-0000-0700-000000000000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3040-721B-AE4B-BF63-2D2F54FAD46D}">
  <sheetPr>
    <pageSetUpPr fitToPage="1"/>
  </sheetPr>
  <dimension ref="A1:H28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14" style="2" customWidth="1"/>
    <col min="2" max="2" width="24" style="2" customWidth="1"/>
    <col min="3" max="5" width="16" style="2" customWidth="1"/>
    <col min="6" max="7" width="18" style="2" customWidth="1"/>
    <col min="8" max="8" width="13" style="2" customWidth="1"/>
    <col min="9" max="16384" width="8.6640625" style="2"/>
  </cols>
  <sheetData>
    <row r="1" spans="1:8" ht="31.5" customHeight="1" x14ac:dyDescent="0.2">
      <c r="A1" s="143" t="s">
        <v>369</v>
      </c>
      <c r="B1" s="143"/>
      <c r="C1" s="143"/>
      <c r="D1" s="143"/>
      <c r="E1" s="143"/>
      <c r="F1" s="143"/>
      <c r="G1" s="143"/>
      <c r="H1" s="143"/>
    </row>
    <row r="2" spans="1:8" ht="21.75" customHeight="1" x14ac:dyDescent="0.2">
      <c r="A2" s="80" t="s">
        <v>44</v>
      </c>
      <c r="B2" s="144" t="s">
        <v>368</v>
      </c>
      <c r="C2" s="144"/>
      <c r="D2" s="144"/>
      <c r="E2" s="144"/>
      <c r="F2" s="144"/>
      <c r="G2" s="144"/>
      <c r="H2" s="144"/>
    </row>
    <row r="3" spans="1:8" ht="21.75" customHeight="1" x14ac:dyDescent="0.2">
      <c r="A3" s="80" t="s">
        <v>46</v>
      </c>
      <c r="B3" s="144" t="s">
        <v>367</v>
      </c>
      <c r="C3" s="144"/>
      <c r="D3" s="144"/>
      <c r="E3" s="144"/>
      <c r="F3" s="144"/>
      <c r="G3" s="144"/>
      <c r="H3" s="144"/>
    </row>
    <row r="4" spans="1:8" ht="21.75" customHeight="1" x14ac:dyDescent="0.2">
      <c r="A4" s="80" t="s">
        <v>48</v>
      </c>
      <c r="B4" s="144" t="s">
        <v>366</v>
      </c>
      <c r="C4" s="144"/>
      <c r="D4" s="144"/>
      <c r="E4" s="144"/>
      <c r="F4" s="144"/>
      <c r="G4" s="144"/>
      <c r="H4" s="144"/>
    </row>
    <row r="5" spans="1:8" ht="21.75" customHeight="1" x14ac:dyDescent="0.2">
      <c r="A5" s="80" t="s">
        <v>50</v>
      </c>
      <c r="B5" s="144" t="s">
        <v>365</v>
      </c>
      <c r="C5" s="144"/>
      <c r="D5" s="144"/>
      <c r="E5" s="144"/>
      <c r="F5" s="144"/>
      <c r="G5" s="144"/>
      <c r="H5" s="144"/>
    </row>
    <row r="6" spans="1:8" ht="79.5" customHeight="1" x14ac:dyDescent="0.2">
      <c r="A6" s="32" t="s">
        <v>52</v>
      </c>
      <c r="B6" s="33" t="s">
        <v>53</v>
      </c>
      <c r="C6" s="145" t="s">
        <v>54</v>
      </c>
      <c r="D6" s="145"/>
      <c r="E6" s="146" t="s">
        <v>55</v>
      </c>
      <c r="F6" s="146"/>
      <c r="G6" s="32" t="s">
        <v>56</v>
      </c>
      <c r="H6" s="34" t="s">
        <v>55</v>
      </c>
    </row>
    <row r="7" spans="1:8" ht="7.5" customHeight="1" x14ac:dyDescent="0.2"/>
    <row r="8" spans="1:8" ht="15" customHeight="1" x14ac:dyDescent="0.2">
      <c r="A8" s="140" t="s">
        <v>364</v>
      </c>
      <c r="B8" s="140"/>
      <c r="C8" s="140"/>
      <c r="D8" s="140"/>
      <c r="E8" s="140"/>
      <c r="F8" s="140"/>
      <c r="G8" s="140"/>
    </row>
    <row r="9" spans="1:8" ht="30" customHeight="1" x14ac:dyDescent="0.2">
      <c r="B9" s="55" t="s">
        <v>14</v>
      </c>
      <c r="C9" s="55" t="s">
        <v>363</v>
      </c>
      <c r="D9" s="55" t="s">
        <v>362</v>
      </c>
      <c r="E9" s="55" t="s">
        <v>361</v>
      </c>
      <c r="F9" s="55" t="s">
        <v>360</v>
      </c>
      <c r="G9" s="55" t="s">
        <v>217</v>
      </c>
    </row>
    <row r="10" spans="1:8" ht="51.75" customHeight="1" x14ac:dyDescent="0.2">
      <c r="B10" s="28" t="s">
        <v>359</v>
      </c>
      <c r="C10" s="39" t="s">
        <v>341</v>
      </c>
      <c r="D10" s="39" t="s">
        <v>358</v>
      </c>
      <c r="E10" s="39">
        <v>4</v>
      </c>
      <c r="F10" s="39" t="s">
        <v>323</v>
      </c>
      <c r="G10" s="28" t="s">
        <v>357</v>
      </c>
    </row>
    <row r="11" spans="1:8" ht="30" customHeight="1" x14ac:dyDescent="0.2">
      <c r="B11" s="28" t="s">
        <v>356</v>
      </c>
      <c r="C11" s="39" t="s">
        <v>341</v>
      </c>
      <c r="D11" s="39" t="s">
        <v>355</v>
      </c>
      <c r="E11" s="39">
        <v>4</v>
      </c>
      <c r="F11" s="39" t="s">
        <v>347</v>
      </c>
      <c r="G11" s="28" t="s">
        <v>354</v>
      </c>
    </row>
    <row r="12" spans="1:8" ht="79" customHeight="1" x14ac:dyDescent="0.2">
      <c r="B12" s="28" t="s">
        <v>353</v>
      </c>
      <c r="C12" s="39" t="s">
        <v>352</v>
      </c>
      <c r="D12" s="39" t="s">
        <v>351</v>
      </c>
      <c r="E12" s="39">
        <v>5</v>
      </c>
      <c r="F12" s="39" t="s">
        <v>347</v>
      </c>
      <c r="G12" s="28" t="s">
        <v>350</v>
      </c>
    </row>
    <row r="13" spans="1:8" ht="64.5" customHeight="1" x14ac:dyDescent="0.2">
      <c r="B13" s="28" t="s">
        <v>349</v>
      </c>
      <c r="C13" s="39" t="s">
        <v>341</v>
      </c>
      <c r="D13" s="39" t="s">
        <v>348</v>
      </c>
      <c r="E13" s="39">
        <v>4</v>
      </c>
      <c r="F13" s="39" t="s">
        <v>347</v>
      </c>
      <c r="G13" s="28" t="s">
        <v>346</v>
      </c>
    </row>
    <row r="14" spans="1:8" ht="39" customHeight="1" x14ac:dyDescent="0.2">
      <c r="B14" s="28" t="s">
        <v>345</v>
      </c>
      <c r="C14" s="39" t="s">
        <v>341</v>
      </c>
      <c r="D14" s="39" t="s">
        <v>344</v>
      </c>
      <c r="E14" s="39">
        <v>3</v>
      </c>
      <c r="F14" s="39" t="s">
        <v>323</v>
      </c>
      <c r="G14" s="28" t="s">
        <v>343</v>
      </c>
    </row>
    <row r="15" spans="1:8" ht="51.75" customHeight="1" x14ac:dyDescent="0.2">
      <c r="B15" s="28" t="s">
        <v>342</v>
      </c>
      <c r="C15" s="39" t="s">
        <v>341</v>
      </c>
      <c r="D15" s="39" t="s">
        <v>340</v>
      </c>
      <c r="E15" s="39">
        <v>2</v>
      </c>
      <c r="F15" s="39" t="s">
        <v>339</v>
      </c>
      <c r="G15" s="28" t="s">
        <v>338</v>
      </c>
    </row>
    <row r="18" spans="1:7" ht="15" customHeight="1" x14ac:dyDescent="0.2">
      <c r="A18" s="140" t="s">
        <v>337</v>
      </c>
      <c r="B18" s="140"/>
      <c r="C18" s="140"/>
      <c r="D18" s="140"/>
      <c r="E18" s="140"/>
      <c r="F18" s="140"/>
      <c r="G18" s="140"/>
    </row>
    <row r="19" spans="1:7" ht="30" customHeight="1" x14ac:dyDescent="0.2">
      <c r="B19" s="55" t="s">
        <v>336</v>
      </c>
      <c r="C19" s="55" t="s">
        <v>335</v>
      </c>
      <c r="D19" s="55" t="s">
        <v>334</v>
      </c>
      <c r="E19" s="55" t="s">
        <v>333</v>
      </c>
      <c r="F19" s="55" t="s">
        <v>332</v>
      </c>
      <c r="G19" s="55" t="s">
        <v>331</v>
      </c>
    </row>
    <row r="20" spans="1:7" ht="30" customHeight="1" x14ac:dyDescent="0.2">
      <c r="B20" s="28" t="s">
        <v>330</v>
      </c>
      <c r="C20" s="75" t="s">
        <v>329</v>
      </c>
      <c r="D20" s="75" t="s">
        <v>325</v>
      </c>
      <c r="E20" s="39">
        <v>60</v>
      </c>
      <c r="F20" s="75" t="s">
        <v>324</v>
      </c>
      <c r="G20" s="75" t="s">
        <v>323</v>
      </c>
    </row>
    <row r="21" spans="1:7" ht="15" customHeight="1" x14ac:dyDescent="0.2">
      <c r="B21" s="28" t="s">
        <v>328</v>
      </c>
      <c r="C21" s="75" t="s">
        <v>318</v>
      </c>
      <c r="D21" s="75" t="s">
        <v>325</v>
      </c>
      <c r="E21" s="39">
        <v>60</v>
      </c>
      <c r="F21" s="75" t="s">
        <v>316</v>
      </c>
      <c r="G21" s="75" t="s">
        <v>74</v>
      </c>
    </row>
    <row r="22" spans="1:7" ht="26.25" customHeight="1" x14ac:dyDescent="0.2">
      <c r="B22" s="28" t="s">
        <v>327</v>
      </c>
      <c r="C22" s="75" t="s">
        <v>326</v>
      </c>
      <c r="D22" s="75" t="s">
        <v>325</v>
      </c>
      <c r="E22" s="39">
        <v>60</v>
      </c>
      <c r="F22" s="75" t="s">
        <v>324</v>
      </c>
      <c r="G22" s="75" t="s">
        <v>323</v>
      </c>
    </row>
    <row r="23" spans="1:7" ht="15" customHeight="1" x14ac:dyDescent="0.2">
      <c r="B23" s="28" t="s">
        <v>322</v>
      </c>
      <c r="C23" s="75" t="s">
        <v>321</v>
      </c>
      <c r="D23" s="75" t="s">
        <v>320</v>
      </c>
      <c r="E23" s="39">
        <v>60</v>
      </c>
      <c r="F23" s="75" t="s">
        <v>316</v>
      </c>
      <c r="G23" s="75" t="s">
        <v>74</v>
      </c>
    </row>
    <row r="24" spans="1:7" ht="15" customHeight="1" x14ac:dyDescent="0.2">
      <c r="B24" s="28" t="s">
        <v>319</v>
      </c>
      <c r="C24" s="75" t="s">
        <v>318</v>
      </c>
      <c r="D24" s="75" t="s">
        <v>317</v>
      </c>
      <c r="E24" s="39">
        <v>60</v>
      </c>
      <c r="F24" s="75" t="s">
        <v>316</v>
      </c>
      <c r="G24" s="75" t="s">
        <v>315</v>
      </c>
    </row>
    <row r="26" spans="1:7" ht="15" customHeight="1" x14ac:dyDescent="0.2">
      <c r="A26" s="140" t="s">
        <v>314</v>
      </c>
      <c r="B26" s="140"/>
      <c r="C26" s="140"/>
      <c r="D26" s="140"/>
      <c r="E26" s="140"/>
      <c r="F26" s="140"/>
      <c r="G26" s="140"/>
    </row>
    <row r="27" spans="1:7" ht="30" customHeight="1" x14ac:dyDescent="0.2">
      <c r="B27" s="55" t="s">
        <v>313</v>
      </c>
      <c r="C27" s="39">
        <v>60</v>
      </c>
    </row>
    <row r="28" spans="1:7" ht="30" customHeight="1" x14ac:dyDescent="0.2">
      <c r="B28" s="55" t="s">
        <v>312</v>
      </c>
      <c r="C28" s="57" t="str">
        <f>IF(MIN(E20:E24)&gt;=C27,"PASS","FAIL")</f>
        <v>PASS</v>
      </c>
    </row>
  </sheetData>
  <mergeCells count="10">
    <mergeCell ref="A8:G8"/>
    <mergeCell ref="A18:G18"/>
    <mergeCell ref="A26:G26"/>
    <mergeCell ref="A1:H1"/>
    <mergeCell ref="B2:H2"/>
    <mergeCell ref="B3:H3"/>
    <mergeCell ref="B4:H4"/>
    <mergeCell ref="B5:H5"/>
    <mergeCell ref="C6:D6"/>
    <mergeCell ref="E6:F6"/>
  </mergeCells>
  <conditionalFormatting sqref="B6">
    <cfRule type="cellIs" dxfId="19" priority="1" operator="equal">
      <formula>"Signed off"</formula>
    </cfRule>
    <cfRule type="cellIs" dxfId="18" priority="2" operator="equal">
      <formula>"In review"</formula>
    </cfRule>
  </conditionalFormatting>
  <conditionalFormatting sqref="C28">
    <cfRule type="cellIs" dxfId="17" priority="3" operator="equal">
      <formula>"PASS"</formula>
    </cfRule>
    <cfRule type="cellIs" dxfId="16" priority="4" operator="equal">
      <formula>"FAIL"</formula>
    </cfRule>
  </conditionalFormatting>
  <dataValidations count="4">
    <dataValidation type="list" sqref="E10:E15" xr:uid="{00000000-0002-0000-0800-000003000000}">
      <formula1>"1,2,3,4,5"</formula1>
      <formula2>0</formula2>
    </dataValidation>
    <dataValidation type="list" sqref="C10:C15" xr:uid="{00000000-0002-0000-0800-000002000000}">
      <formula1>"Consumer,Producer,Mediator,Optional"</formula1>
      <formula2>0</formula2>
    </dataValidation>
    <dataValidation type="date" operator="greaterThan" allowBlank="1" errorTitle="Invalid date" error="Enter a valid date" sqref="H6" xr:uid="{00000000-0002-0000-0800-000001000000}">
      <formula1>2020-1-1</formula1>
      <formula2>0</formula2>
    </dataValidation>
    <dataValidation type="list" sqref="B6" xr:uid="{00000000-0002-0000-0800-000000000000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510AC-0014-3743-AE23-B7CE922A0400}">
  <sheetPr>
    <pageSetUpPr fitToPage="1"/>
  </sheetPr>
  <dimension ref="A1:H27"/>
  <sheetViews>
    <sheetView topLeftCell="A7" zoomScaleNormal="100" workbookViewId="0">
      <selection activeCell="B26" sqref="B26"/>
    </sheetView>
  </sheetViews>
  <sheetFormatPr baseColWidth="10" defaultColWidth="8.6640625" defaultRowHeight="15" x14ac:dyDescent="0.2"/>
  <cols>
    <col min="1" max="1" width="17" style="2" customWidth="1"/>
    <col min="2" max="2" width="28" style="2" customWidth="1"/>
    <col min="3" max="7" width="10" style="2" customWidth="1"/>
    <col min="8" max="8" width="12" style="2" customWidth="1"/>
    <col min="9" max="16384" width="8.6640625" style="2"/>
  </cols>
  <sheetData>
    <row r="1" spans="1:8" ht="31.5" customHeight="1" x14ac:dyDescent="0.2">
      <c r="A1" s="171" t="s">
        <v>390</v>
      </c>
      <c r="B1" s="171"/>
      <c r="C1" s="171"/>
      <c r="D1" s="171"/>
      <c r="E1" s="171"/>
      <c r="F1" s="171"/>
      <c r="G1" s="171"/>
      <c r="H1" s="171"/>
    </row>
    <row r="2" spans="1:8" ht="21.75" customHeight="1" x14ac:dyDescent="0.2">
      <c r="A2" s="88" t="s">
        <v>44</v>
      </c>
      <c r="B2" s="172" t="s">
        <v>389</v>
      </c>
      <c r="C2" s="172"/>
      <c r="D2" s="172"/>
      <c r="E2" s="172"/>
      <c r="F2" s="172"/>
      <c r="G2" s="172"/>
      <c r="H2" s="172"/>
    </row>
    <row r="3" spans="1:8" ht="21.75" customHeight="1" x14ac:dyDescent="0.2">
      <c r="A3" s="88" t="s">
        <v>46</v>
      </c>
      <c r="B3" s="172" t="s">
        <v>388</v>
      </c>
      <c r="C3" s="172"/>
      <c r="D3" s="172"/>
      <c r="E3" s="172"/>
      <c r="F3" s="172"/>
      <c r="G3" s="172"/>
      <c r="H3" s="172"/>
    </row>
    <row r="4" spans="1:8" ht="21.75" customHeight="1" x14ac:dyDescent="0.2">
      <c r="A4" s="88" t="s">
        <v>48</v>
      </c>
      <c r="B4" s="172" t="s">
        <v>387</v>
      </c>
      <c r="C4" s="172"/>
      <c r="D4" s="172"/>
      <c r="E4" s="172"/>
      <c r="F4" s="172"/>
      <c r="G4" s="172"/>
      <c r="H4" s="172"/>
    </row>
    <row r="5" spans="1:8" ht="21.75" customHeight="1" x14ac:dyDescent="0.2">
      <c r="A5" s="88" t="s">
        <v>50</v>
      </c>
      <c r="B5" s="172" t="s">
        <v>386</v>
      </c>
      <c r="C5" s="172"/>
      <c r="D5" s="172"/>
      <c r="E5" s="172"/>
      <c r="F5" s="172"/>
      <c r="G5" s="172"/>
      <c r="H5" s="172"/>
    </row>
    <row r="6" spans="1:8" ht="79.5" customHeight="1" x14ac:dyDescent="0.2">
      <c r="A6" s="32" t="s">
        <v>52</v>
      </c>
      <c r="B6" s="33" t="s">
        <v>53</v>
      </c>
      <c r="C6" s="167" t="s">
        <v>54</v>
      </c>
      <c r="D6" s="167"/>
      <c r="E6" s="168" t="s">
        <v>55</v>
      </c>
      <c r="F6" s="168"/>
      <c r="G6" s="32" t="s">
        <v>56</v>
      </c>
      <c r="H6" s="34" t="s">
        <v>55</v>
      </c>
    </row>
    <row r="7" spans="1:8" ht="7.5" customHeight="1" x14ac:dyDescent="0.2"/>
    <row r="8" spans="1:8" ht="60" customHeight="1" thickBot="1" x14ac:dyDescent="0.25">
      <c r="A8" s="169" t="s">
        <v>385</v>
      </c>
      <c r="B8" s="170"/>
      <c r="C8" s="170"/>
      <c r="D8" s="170"/>
      <c r="E8" s="170"/>
      <c r="F8" s="170"/>
      <c r="G8" s="169"/>
      <c r="H8" s="169"/>
    </row>
    <row r="9" spans="1:8" ht="64.5" customHeight="1" x14ac:dyDescent="0.2">
      <c r="B9" s="70" t="s">
        <v>201</v>
      </c>
      <c r="C9" s="69" t="s">
        <v>384</v>
      </c>
      <c r="D9" s="69" t="s">
        <v>383</v>
      </c>
      <c r="E9" s="69" t="s">
        <v>382</v>
      </c>
      <c r="F9" s="68" t="s">
        <v>198</v>
      </c>
    </row>
    <row r="10" spans="1:8" ht="15" customHeight="1" x14ac:dyDescent="0.2">
      <c r="B10" s="27" t="s">
        <v>381</v>
      </c>
      <c r="C10" s="39">
        <v>5</v>
      </c>
      <c r="D10" s="39">
        <v>4</v>
      </c>
      <c r="E10" s="39">
        <v>5</v>
      </c>
      <c r="F10" s="87">
        <v>0.2</v>
      </c>
      <c r="G10" s="86"/>
    </row>
    <row r="11" spans="1:8" ht="15" customHeight="1" x14ac:dyDescent="0.2">
      <c r="B11" s="27" t="s">
        <v>380</v>
      </c>
      <c r="C11" s="39">
        <v>2</v>
      </c>
      <c r="D11" s="39">
        <v>3</v>
      </c>
      <c r="E11" s="39">
        <v>4</v>
      </c>
      <c r="F11" s="87">
        <v>0.2</v>
      </c>
      <c r="G11" s="86"/>
    </row>
    <row r="12" spans="1:8" ht="15" customHeight="1" x14ac:dyDescent="0.2">
      <c r="B12" s="27" t="s">
        <v>379</v>
      </c>
      <c r="C12" s="39">
        <v>1</v>
      </c>
      <c r="D12" s="39">
        <v>4</v>
      </c>
      <c r="E12" s="39">
        <v>5</v>
      </c>
      <c r="F12" s="87">
        <v>0.1</v>
      </c>
      <c r="G12" s="86"/>
    </row>
    <row r="13" spans="1:8" ht="15" customHeight="1" x14ac:dyDescent="0.2">
      <c r="B13" s="27" t="s">
        <v>378</v>
      </c>
      <c r="C13" s="39">
        <v>5</v>
      </c>
      <c r="D13" s="39">
        <v>4</v>
      </c>
      <c r="E13" s="39">
        <v>3</v>
      </c>
      <c r="F13" s="87">
        <v>0.15</v>
      </c>
      <c r="G13" s="86"/>
    </row>
    <row r="14" spans="1:8" ht="15" customHeight="1" x14ac:dyDescent="0.2">
      <c r="B14" s="27" t="s">
        <v>377</v>
      </c>
      <c r="C14" s="39">
        <v>5</v>
      </c>
      <c r="D14" s="39">
        <v>4</v>
      </c>
      <c r="E14" s="39">
        <v>3</v>
      </c>
      <c r="F14" s="87">
        <v>0.15</v>
      </c>
      <c r="G14" s="86"/>
    </row>
    <row r="15" spans="1:8" ht="15" customHeight="1" x14ac:dyDescent="0.2">
      <c r="B15" s="27" t="s">
        <v>376</v>
      </c>
      <c r="C15" s="39">
        <v>5</v>
      </c>
      <c r="D15" s="39">
        <v>4</v>
      </c>
      <c r="E15" s="39">
        <v>3</v>
      </c>
      <c r="F15" s="87">
        <v>0.1</v>
      </c>
      <c r="G15" s="86"/>
    </row>
    <row r="16" spans="1:8" ht="15" customHeight="1" x14ac:dyDescent="0.2">
      <c r="B16" s="27" t="s">
        <v>375</v>
      </c>
      <c r="C16" s="39">
        <v>3</v>
      </c>
      <c r="D16" s="39">
        <v>5</v>
      </c>
      <c r="E16" s="39">
        <v>5</v>
      </c>
      <c r="F16" s="87">
        <v>0.1</v>
      </c>
      <c r="G16" s="86"/>
    </row>
    <row r="17" spans="1:8" ht="15" customHeight="1" thickBot="1" x14ac:dyDescent="0.25">
      <c r="B17" s="20" t="s">
        <v>374</v>
      </c>
      <c r="C17" s="164" t="str">
        <f>IF(ABS(SUM(F10:F16)-1)&lt;0.01,"PASS (1.00)","FAIL — weights must sum to 1.00")</f>
        <v>PASS (1.00)</v>
      </c>
      <c r="D17" s="165"/>
      <c r="E17" s="166"/>
      <c r="F17" s="85">
        <f>SUM(F10:F16)</f>
        <v>1</v>
      </c>
      <c r="G17" s="84"/>
    </row>
    <row r="19" spans="1:8" ht="15.75" customHeight="1" x14ac:dyDescent="0.2">
      <c r="B19" s="55" t="s">
        <v>20</v>
      </c>
      <c r="C19" s="83">
        <f>SUMPRODUCT(C10:C16,$F$10:$F$16)</f>
        <v>3.8</v>
      </c>
      <c r="D19" s="83">
        <f>SUMPRODUCT(D10:D16,$F$10:$F$16)</f>
        <v>3.9000000000000004</v>
      </c>
      <c r="E19" s="83">
        <f>SUMPRODUCT(E10:E16,$F$10:$F$16)</f>
        <v>4</v>
      </c>
      <c r="F19" s="83"/>
      <c r="G19" s="83"/>
    </row>
    <row r="20" spans="1:8" ht="15" customHeight="1" x14ac:dyDescent="0.2">
      <c r="B20" s="55" t="s">
        <v>373</v>
      </c>
      <c r="C20" s="57">
        <f>RANK(C19,$C$19:$E$19,0)</f>
        <v>3</v>
      </c>
      <c r="D20" s="57">
        <f>RANK(D19,$C$19:$E$19,0)</f>
        <v>2</v>
      </c>
      <c r="E20" s="57">
        <f>RANK(E19,$C$19:$E$19,0)</f>
        <v>1</v>
      </c>
      <c r="F20" s="57"/>
      <c r="G20" s="57"/>
    </row>
    <row r="21" spans="1:8" ht="15" customHeight="1" thickBot="1" x14ac:dyDescent="0.25">
      <c r="A21" s="169" t="s">
        <v>372</v>
      </c>
      <c r="B21" s="170"/>
      <c r="C21" s="170"/>
      <c r="D21" s="170"/>
      <c r="E21" s="170"/>
      <c r="F21" s="170"/>
      <c r="G21" s="170"/>
      <c r="H21" s="170"/>
    </row>
    <row r="22" spans="1:8" ht="57" customHeight="1" thickBot="1" x14ac:dyDescent="0.25">
      <c r="B22" s="70" t="s">
        <v>19</v>
      </c>
      <c r="C22" s="158" t="str">
        <f>INDEX({"A: Manual look-up";"B: Central database";"C: Dataspace connector"},MATCH(MAX(C19:E19),C19:E19,0))</f>
        <v>C: Dataspace connector</v>
      </c>
      <c r="D22" s="159"/>
      <c r="E22" s="159"/>
      <c r="F22" s="159"/>
      <c r="G22" s="159"/>
      <c r="H22" s="160"/>
    </row>
    <row r="23" spans="1:8" ht="38" customHeight="1" thickBot="1" x14ac:dyDescent="0.25">
      <c r="B23" s="82" t="s">
        <v>20</v>
      </c>
      <c r="C23" s="161">
        <f>MAX(C19:E19)</f>
        <v>4</v>
      </c>
      <c r="D23" s="162"/>
      <c r="E23" s="162"/>
      <c r="F23" s="162"/>
      <c r="G23" s="162"/>
      <c r="H23" s="163"/>
    </row>
    <row r="24" spans="1:8" ht="15" customHeight="1" x14ac:dyDescent="0.2">
      <c r="B24" s="18" t="s">
        <v>371</v>
      </c>
      <c r="H24" s="11"/>
    </row>
    <row r="25" spans="1:8" ht="88" customHeight="1" thickBot="1" x14ac:dyDescent="0.25">
      <c r="B25" s="154" t="s">
        <v>626</v>
      </c>
      <c r="C25" s="155"/>
      <c r="D25" s="155"/>
      <c r="E25" s="155"/>
      <c r="F25" s="155"/>
      <c r="G25" s="155"/>
      <c r="H25" s="156"/>
    </row>
    <row r="27" spans="1:8" ht="15" customHeight="1" x14ac:dyDescent="0.2">
      <c r="B27" s="55" t="s">
        <v>370</v>
      </c>
      <c r="C27" s="157" t="str">
        <f>IF('3_P0_Readiness'!C37&lt;2,"⚠ Low readiness — Pattern 2b disabled unless override (300-char rationale required)","Pass")</f>
        <v>Pass</v>
      </c>
      <c r="D27" s="157"/>
      <c r="E27" s="157"/>
      <c r="F27" s="157"/>
      <c r="G27" s="157"/>
      <c r="H27" s="157"/>
    </row>
  </sheetData>
  <mergeCells count="14">
    <mergeCell ref="C6:D6"/>
    <mergeCell ref="E6:F6"/>
    <mergeCell ref="A8:H8"/>
    <mergeCell ref="A21:H21"/>
    <mergeCell ref="A1:H1"/>
    <mergeCell ref="B2:H2"/>
    <mergeCell ref="B3:H3"/>
    <mergeCell ref="B4:H4"/>
    <mergeCell ref="B5:H5"/>
    <mergeCell ref="B25:H25"/>
    <mergeCell ref="C27:H27"/>
    <mergeCell ref="C22:H22"/>
    <mergeCell ref="C23:H23"/>
    <mergeCell ref="C17:E17"/>
  </mergeCells>
  <conditionalFormatting sqref="B6">
    <cfRule type="cellIs" dxfId="15" priority="1" operator="equal">
      <formula>"Signed off"</formula>
    </cfRule>
    <cfRule type="cellIs" dxfId="14" priority="2" operator="equal">
      <formula>"In review"</formula>
    </cfRule>
  </conditionalFormatting>
  <conditionalFormatting sqref="C17">
    <cfRule type="expression" dxfId="13" priority="3">
      <formula>LEFT(C17,4)="PASS"</formula>
    </cfRule>
    <cfRule type="expression" dxfId="12" priority="4">
      <formula>LEFT(C17,4)="FAIL"</formula>
    </cfRule>
  </conditionalFormatting>
  <conditionalFormatting sqref="C27">
    <cfRule type="expression" dxfId="11" priority="6">
      <formula>ISNUMBER(SEARCH("disabled",C27))</formula>
    </cfRule>
    <cfRule type="cellIs" dxfId="10" priority="7" operator="equal">
      <formula>"Pass"</formula>
    </cfRule>
  </conditionalFormatting>
  <conditionalFormatting sqref="C19:G19">
    <cfRule type="colorScale" priority="5">
      <colorScale>
        <cfvo type="min"/>
        <cfvo type="percentile" val="50"/>
        <cfvo type="max"/>
        <color rgb="FFFFC7CE"/>
        <color rgb="FFFFEB9C"/>
        <color rgb="FFC6EFCE"/>
      </colorScale>
    </cfRule>
  </conditionalFormatting>
  <dataValidations count="3">
    <dataValidation type="list" sqref="C10:G16" xr:uid="{00000000-0002-0000-0900-000002000000}">
      <formula1>"1,2,3,4,5"</formula1>
      <formula2>0</formula2>
    </dataValidation>
    <dataValidation type="date" operator="greaterThan" allowBlank="1" errorTitle="Invalid date" error="Enter a valid date" sqref="H6" xr:uid="{00000000-0002-0000-0900-000001000000}">
      <formula1>2020-1-1</formula1>
      <formula2>0</formula2>
    </dataValidation>
    <dataValidation type="list" sqref="B6" xr:uid="{00000000-0002-0000-0900-000000000000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23076-82BD-594B-9531-61CA33C359EE}">
  <sheetPr>
    <pageSetUpPr fitToPage="1"/>
  </sheetPr>
  <dimension ref="A1:P43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15.5" style="2" customWidth="1"/>
    <col min="2" max="2" width="26" style="2" customWidth="1"/>
    <col min="3" max="7" width="12" style="2" customWidth="1"/>
    <col min="8" max="8" width="14" style="2" customWidth="1"/>
    <col min="9" max="10" width="12" style="2" customWidth="1"/>
    <col min="11" max="12" width="14" style="2" customWidth="1"/>
    <col min="13" max="15" width="12" style="2" customWidth="1"/>
    <col min="16" max="16" width="16" style="2" customWidth="1"/>
    <col min="17" max="16384" width="8.6640625" style="2"/>
  </cols>
  <sheetData>
    <row r="1" spans="1:16" ht="31.5" customHeight="1" x14ac:dyDescent="0.2">
      <c r="A1" s="171" t="s">
        <v>491</v>
      </c>
      <c r="B1" s="171"/>
      <c r="C1" s="171"/>
      <c r="D1" s="171"/>
      <c r="E1" s="171"/>
      <c r="F1" s="171"/>
      <c r="G1" s="171"/>
      <c r="H1" s="171"/>
    </row>
    <row r="2" spans="1:16" ht="21.75" customHeight="1" x14ac:dyDescent="0.2">
      <c r="A2" s="94" t="s">
        <v>44</v>
      </c>
      <c r="B2" s="172" t="s">
        <v>490</v>
      </c>
      <c r="C2" s="172"/>
      <c r="D2" s="172"/>
      <c r="E2" s="172"/>
      <c r="F2" s="172"/>
      <c r="G2" s="172"/>
      <c r="H2" s="172"/>
    </row>
    <row r="3" spans="1:16" ht="21.75" customHeight="1" x14ac:dyDescent="0.2">
      <c r="A3" s="94" t="s">
        <v>46</v>
      </c>
      <c r="B3" s="172" t="s">
        <v>489</v>
      </c>
      <c r="C3" s="172"/>
      <c r="D3" s="172"/>
      <c r="E3" s="172"/>
      <c r="F3" s="172"/>
      <c r="G3" s="172"/>
      <c r="H3" s="172"/>
    </row>
    <row r="4" spans="1:16" ht="21.75" customHeight="1" x14ac:dyDescent="0.2">
      <c r="A4" s="94" t="s">
        <v>48</v>
      </c>
      <c r="B4" s="172" t="s">
        <v>488</v>
      </c>
      <c r="C4" s="172"/>
      <c r="D4" s="172"/>
      <c r="E4" s="172"/>
      <c r="F4" s="172"/>
      <c r="G4" s="172"/>
      <c r="H4" s="172"/>
    </row>
    <row r="5" spans="1:16" ht="21.75" customHeight="1" x14ac:dyDescent="0.2">
      <c r="A5" s="94" t="s">
        <v>50</v>
      </c>
      <c r="B5" s="172" t="s">
        <v>487</v>
      </c>
      <c r="C5" s="172"/>
      <c r="D5" s="172"/>
      <c r="E5" s="172"/>
      <c r="F5" s="172"/>
      <c r="G5" s="172"/>
      <c r="H5" s="172"/>
    </row>
    <row r="6" spans="1:16" ht="79.5" customHeight="1" x14ac:dyDescent="0.2">
      <c r="A6" s="32" t="s">
        <v>52</v>
      </c>
      <c r="B6" s="33" t="s">
        <v>53</v>
      </c>
      <c r="C6" s="167" t="s">
        <v>54</v>
      </c>
      <c r="D6" s="167"/>
      <c r="E6" s="168" t="s">
        <v>55</v>
      </c>
      <c r="F6" s="168"/>
      <c r="G6" s="32" t="s">
        <v>56</v>
      </c>
      <c r="H6" s="34" t="s">
        <v>55</v>
      </c>
    </row>
    <row r="7" spans="1:16" ht="7.5" customHeight="1" x14ac:dyDescent="0.2"/>
    <row r="8" spans="1:16" ht="15" customHeight="1" x14ac:dyDescent="0.2">
      <c r="A8" s="169" t="s">
        <v>486</v>
      </c>
      <c r="B8" s="169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</row>
    <row r="9" spans="1:16" ht="25.5" customHeight="1" x14ac:dyDescent="0.2">
      <c r="B9" s="93" t="s">
        <v>485</v>
      </c>
      <c r="C9" s="183" t="s">
        <v>484</v>
      </c>
      <c r="D9" s="183"/>
      <c r="E9" s="183"/>
      <c r="F9" s="183"/>
      <c r="G9" s="183"/>
      <c r="H9" s="183"/>
      <c r="I9" s="183"/>
      <c r="J9" s="183"/>
      <c r="K9" s="183"/>
      <c r="L9" s="183"/>
      <c r="M9" s="183"/>
      <c r="N9" s="183"/>
      <c r="O9" s="183"/>
      <c r="P9" s="183"/>
    </row>
    <row r="10" spans="1:16" ht="25.5" customHeight="1" x14ac:dyDescent="0.2">
      <c r="B10" s="93" t="s">
        <v>483</v>
      </c>
      <c r="C10" s="183" t="s">
        <v>482</v>
      </c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</row>
    <row r="11" spans="1:16" ht="25.5" customHeight="1" x14ac:dyDescent="0.2">
      <c r="B11" s="93" t="s">
        <v>481</v>
      </c>
      <c r="C11" s="183" t="s">
        <v>480</v>
      </c>
      <c r="D11" s="183"/>
      <c r="E11" s="183"/>
      <c r="F11" s="183"/>
      <c r="G11" s="183"/>
      <c r="H11" s="183"/>
      <c r="I11" s="183"/>
      <c r="J11" s="183"/>
      <c r="K11" s="183"/>
      <c r="L11" s="183"/>
      <c r="M11" s="183"/>
      <c r="N11" s="183"/>
      <c r="O11" s="183"/>
      <c r="P11" s="183"/>
    </row>
    <row r="12" spans="1:16" ht="25.5" customHeight="1" x14ac:dyDescent="0.2">
      <c r="B12" s="93" t="s">
        <v>479</v>
      </c>
      <c r="C12" s="183" t="s">
        <v>478</v>
      </c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3"/>
      <c r="O12" s="183"/>
      <c r="P12" s="183"/>
    </row>
    <row r="13" spans="1:16" ht="25.5" customHeight="1" x14ac:dyDescent="0.2">
      <c r="B13" s="93" t="s">
        <v>412</v>
      </c>
      <c r="C13" s="183" t="s">
        <v>477</v>
      </c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</row>
    <row r="16" spans="1:16" ht="15" customHeight="1" x14ac:dyDescent="0.2">
      <c r="A16" s="169" t="s">
        <v>476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</row>
    <row r="17" spans="1:16" ht="15" customHeight="1" x14ac:dyDescent="0.2">
      <c r="B17" s="55" t="s">
        <v>457</v>
      </c>
      <c r="C17" s="181" t="s">
        <v>475</v>
      </c>
      <c r="D17" s="181"/>
      <c r="E17" s="181"/>
      <c r="F17" s="181"/>
      <c r="G17" s="181"/>
      <c r="H17" s="181"/>
      <c r="I17" s="181" t="s">
        <v>474</v>
      </c>
      <c r="J17" s="181"/>
      <c r="K17" s="181"/>
      <c r="L17" s="181" t="s">
        <v>473</v>
      </c>
      <c r="M17" s="181"/>
      <c r="N17" s="181"/>
      <c r="O17" s="181"/>
      <c r="P17" s="181"/>
    </row>
    <row r="18" spans="1:16" ht="26.25" customHeight="1" x14ac:dyDescent="0.2">
      <c r="B18" s="92" t="s">
        <v>472</v>
      </c>
      <c r="C18" s="177" t="s">
        <v>471</v>
      </c>
      <c r="D18" s="177"/>
      <c r="E18" s="177"/>
      <c r="F18" s="177"/>
      <c r="G18" s="177"/>
      <c r="H18" s="177"/>
      <c r="I18" s="182" t="s">
        <v>470</v>
      </c>
      <c r="J18" s="182"/>
      <c r="K18" s="182"/>
      <c r="L18" s="177" t="s">
        <v>469</v>
      </c>
      <c r="M18" s="177"/>
      <c r="N18" s="177"/>
      <c r="O18" s="177"/>
      <c r="P18" s="177"/>
    </row>
    <row r="19" spans="1:16" ht="43" customHeight="1" x14ac:dyDescent="0.2">
      <c r="B19" s="92" t="s">
        <v>468</v>
      </c>
      <c r="C19" s="177" t="s">
        <v>467</v>
      </c>
      <c r="D19" s="177"/>
      <c r="E19" s="177"/>
      <c r="F19" s="177"/>
      <c r="G19" s="177"/>
      <c r="H19" s="177"/>
      <c r="I19" s="182" t="s">
        <v>466</v>
      </c>
      <c r="J19" s="182"/>
      <c r="K19" s="182"/>
      <c r="L19" s="177" t="s">
        <v>465</v>
      </c>
      <c r="M19" s="177"/>
      <c r="N19" s="177"/>
      <c r="O19" s="177"/>
      <c r="P19" s="177"/>
    </row>
    <row r="20" spans="1:16" ht="40" customHeight="1" x14ac:dyDescent="0.2">
      <c r="B20" s="92" t="s">
        <v>464</v>
      </c>
      <c r="C20" s="177" t="s">
        <v>463</v>
      </c>
      <c r="D20" s="177"/>
      <c r="E20" s="177"/>
      <c r="F20" s="177"/>
      <c r="G20" s="177"/>
      <c r="H20" s="177"/>
      <c r="I20" s="182" t="s">
        <v>462</v>
      </c>
      <c r="J20" s="182"/>
      <c r="K20" s="182"/>
      <c r="L20" s="177" t="s">
        <v>461</v>
      </c>
      <c r="M20" s="177"/>
      <c r="N20" s="177"/>
      <c r="O20" s="177"/>
      <c r="P20" s="177"/>
    </row>
    <row r="22" spans="1:16" ht="15" customHeight="1" x14ac:dyDescent="0.2">
      <c r="A22" s="169" t="s">
        <v>460</v>
      </c>
      <c r="B22" s="169"/>
      <c r="C22" s="169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</row>
    <row r="23" spans="1:16" ht="26.25" customHeight="1" x14ac:dyDescent="0.2">
      <c r="B23" s="55" t="s">
        <v>459</v>
      </c>
      <c r="C23" s="181" t="s">
        <v>458</v>
      </c>
      <c r="D23" s="181"/>
      <c r="E23" s="181"/>
      <c r="F23" s="55" t="s">
        <v>457</v>
      </c>
      <c r="G23" s="55" t="s">
        <v>360</v>
      </c>
      <c r="H23" s="55" t="s">
        <v>456</v>
      </c>
      <c r="I23" s="55" t="s">
        <v>455</v>
      </c>
      <c r="J23" s="55" t="s">
        <v>454</v>
      </c>
      <c r="K23" s="55" t="s">
        <v>453</v>
      </c>
      <c r="L23" s="181" t="s">
        <v>452</v>
      </c>
      <c r="M23" s="181"/>
      <c r="N23" s="181"/>
      <c r="O23" s="181" t="s">
        <v>296</v>
      </c>
      <c r="P23" s="181"/>
    </row>
    <row r="24" spans="1:16" ht="15" customHeight="1" x14ac:dyDescent="0.2">
      <c r="B24" s="46" t="s">
        <v>446</v>
      </c>
      <c r="C24" s="177" t="s">
        <v>451</v>
      </c>
      <c r="D24" s="177"/>
      <c r="E24" s="177"/>
      <c r="F24" s="39">
        <v>1</v>
      </c>
      <c r="G24" s="39" t="s">
        <v>92</v>
      </c>
      <c r="H24" s="39">
        <v>0</v>
      </c>
      <c r="I24" s="39">
        <v>2</v>
      </c>
      <c r="J24" s="39">
        <v>10</v>
      </c>
      <c r="K24" s="39" t="s">
        <v>450</v>
      </c>
      <c r="L24" s="177" t="s">
        <v>449</v>
      </c>
      <c r="M24" s="177"/>
      <c r="N24" s="177"/>
      <c r="O24" s="180" t="s">
        <v>422</v>
      </c>
      <c r="P24" s="180"/>
    </row>
    <row r="25" spans="1:16" ht="26.25" customHeight="1" x14ac:dyDescent="0.2">
      <c r="B25" s="46" t="s">
        <v>444</v>
      </c>
      <c r="C25" s="177" t="s">
        <v>448</v>
      </c>
      <c r="D25" s="177"/>
      <c r="E25" s="177"/>
      <c r="F25" s="39">
        <v>1</v>
      </c>
      <c r="G25" s="39" t="s">
        <v>447</v>
      </c>
      <c r="H25" s="39">
        <v>1</v>
      </c>
      <c r="I25" s="39">
        <v>4</v>
      </c>
      <c r="J25" s="39">
        <v>15</v>
      </c>
      <c r="K25" s="39" t="s">
        <v>446</v>
      </c>
      <c r="L25" s="177" t="s">
        <v>26</v>
      </c>
      <c r="M25" s="177"/>
      <c r="N25" s="177"/>
      <c r="O25" s="180" t="s">
        <v>422</v>
      </c>
      <c r="P25" s="180"/>
    </row>
    <row r="26" spans="1:16" ht="26.25" customHeight="1" x14ac:dyDescent="0.2">
      <c r="B26" s="46" t="s">
        <v>441</v>
      </c>
      <c r="C26" s="177" t="s">
        <v>445</v>
      </c>
      <c r="D26" s="177"/>
      <c r="E26" s="177"/>
      <c r="F26" s="39">
        <v>1</v>
      </c>
      <c r="G26" s="39" t="s">
        <v>74</v>
      </c>
      <c r="H26" s="39">
        <v>2</v>
      </c>
      <c r="I26" s="39">
        <v>5</v>
      </c>
      <c r="J26" s="39">
        <v>20</v>
      </c>
      <c r="K26" s="39" t="s">
        <v>444</v>
      </c>
      <c r="L26" s="177" t="s">
        <v>443</v>
      </c>
      <c r="M26" s="177"/>
      <c r="N26" s="177"/>
      <c r="O26" s="180" t="s">
        <v>422</v>
      </c>
      <c r="P26" s="180"/>
    </row>
    <row r="27" spans="1:16" ht="15" customHeight="1" x14ac:dyDescent="0.2">
      <c r="B27" s="46" t="s">
        <v>438</v>
      </c>
      <c r="C27" s="177" t="s">
        <v>442</v>
      </c>
      <c r="D27" s="177"/>
      <c r="E27" s="177"/>
      <c r="F27" s="39">
        <v>1</v>
      </c>
      <c r="G27" s="39" t="s">
        <v>91</v>
      </c>
      <c r="H27" s="39">
        <v>3</v>
      </c>
      <c r="I27" s="39">
        <v>7</v>
      </c>
      <c r="J27" s="39">
        <v>40</v>
      </c>
      <c r="K27" s="39" t="s">
        <v>441</v>
      </c>
      <c r="L27" s="177" t="s">
        <v>440</v>
      </c>
      <c r="M27" s="177"/>
      <c r="N27" s="177"/>
      <c r="O27" s="180" t="s">
        <v>422</v>
      </c>
      <c r="P27" s="180"/>
    </row>
    <row r="28" spans="1:16" ht="15" customHeight="1" x14ac:dyDescent="0.2">
      <c r="B28" s="46" t="s">
        <v>432</v>
      </c>
      <c r="C28" s="177" t="s">
        <v>439</v>
      </c>
      <c r="D28" s="177"/>
      <c r="E28" s="177"/>
      <c r="F28" s="39">
        <v>1</v>
      </c>
      <c r="G28" s="39" t="s">
        <v>433</v>
      </c>
      <c r="H28" s="39">
        <v>6</v>
      </c>
      <c r="I28" s="39">
        <v>9</v>
      </c>
      <c r="J28" s="39">
        <v>20</v>
      </c>
      <c r="K28" s="39" t="s">
        <v>438</v>
      </c>
      <c r="L28" s="177" t="s">
        <v>437</v>
      </c>
      <c r="M28" s="177"/>
      <c r="N28" s="177"/>
      <c r="O28" s="180" t="s">
        <v>422</v>
      </c>
      <c r="P28" s="180"/>
    </row>
    <row r="29" spans="1:16" ht="26.25" customHeight="1" x14ac:dyDescent="0.2">
      <c r="B29" s="46" t="s">
        <v>424</v>
      </c>
      <c r="C29" s="177" t="s">
        <v>436</v>
      </c>
      <c r="D29" s="177"/>
      <c r="E29" s="177"/>
      <c r="F29" s="39">
        <v>1</v>
      </c>
      <c r="G29" s="39" t="s">
        <v>74</v>
      </c>
      <c r="H29" s="39">
        <v>8</v>
      </c>
      <c r="I29" s="39">
        <v>9</v>
      </c>
      <c r="J29" s="39">
        <v>10</v>
      </c>
      <c r="K29" s="39" t="s">
        <v>432</v>
      </c>
      <c r="L29" s="177" t="s">
        <v>435</v>
      </c>
      <c r="M29" s="177"/>
      <c r="N29" s="177"/>
      <c r="O29" s="180" t="s">
        <v>422</v>
      </c>
      <c r="P29" s="180"/>
    </row>
    <row r="30" spans="1:16" ht="15" customHeight="1" x14ac:dyDescent="0.2">
      <c r="B30" s="46" t="s">
        <v>428</v>
      </c>
      <c r="C30" s="177" t="s">
        <v>434</v>
      </c>
      <c r="D30" s="177"/>
      <c r="E30" s="177"/>
      <c r="F30" s="39">
        <v>2</v>
      </c>
      <c r="G30" s="39" t="s">
        <v>433</v>
      </c>
      <c r="H30" s="39">
        <v>10</v>
      </c>
      <c r="I30" s="39">
        <v>12</v>
      </c>
      <c r="J30" s="39">
        <v>15</v>
      </c>
      <c r="K30" s="39" t="s">
        <v>432</v>
      </c>
      <c r="L30" s="177" t="s">
        <v>431</v>
      </c>
      <c r="M30" s="177"/>
      <c r="N30" s="177"/>
      <c r="O30" s="180" t="s">
        <v>422</v>
      </c>
      <c r="P30" s="180"/>
    </row>
    <row r="31" spans="1:16" ht="26.25" customHeight="1" x14ac:dyDescent="0.2">
      <c r="B31" s="46" t="s">
        <v>430</v>
      </c>
      <c r="C31" s="177" t="s">
        <v>429</v>
      </c>
      <c r="D31" s="177"/>
      <c r="E31" s="177"/>
      <c r="F31" s="39">
        <v>2</v>
      </c>
      <c r="G31" s="39" t="s">
        <v>74</v>
      </c>
      <c r="H31" s="39">
        <v>12</v>
      </c>
      <c r="I31" s="39">
        <v>15</v>
      </c>
      <c r="J31" s="39">
        <v>25</v>
      </c>
      <c r="K31" s="39" t="s">
        <v>428</v>
      </c>
      <c r="L31" s="177" t="s">
        <v>427</v>
      </c>
      <c r="M31" s="177"/>
      <c r="N31" s="177"/>
      <c r="O31" s="180" t="s">
        <v>422</v>
      </c>
      <c r="P31" s="180"/>
    </row>
    <row r="32" spans="1:16" ht="15" customHeight="1" x14ac:dyDescent="0.2">
      <c r="B32" s="46" t="s">
        <v>426</v>
      </c>
      <c r="C32" s="177" t="s">
        <v>425</v>
      </c>
      <c r="D32" s="177"/>
      <c r="E32" s="177"/>
      <c r="F32" s="39">
        <v>2</v>
      </c>
      <c r="G32" s="39" t="s">
        <v>89</v>
      </c>
      <c r="H32" s="39">
        <v>15</v>
      </c>
      <c r="I32" s="39">
        <v>18</v>
      </c>
      <c r="J32" s="39">
        <v>15</v>
      </c>
      <c r="K32" s="39" t="s">
        <v>424</v>
      </c>
      <c r="L32" s="177" t="s">
        <v>423</v>
      </c>
      <c r="M32" s="177"/>
      <c r="N32" s="177"/>
      <c r="O32" s="180" t="s">
        <v>422</v>
      </c>
      <c r="P32" s="180"/>
    </row>
    <row r="35" spans="1:16" ht="15" customHeight="1" x14ac:dyDescent="0.2">
      <c r="A35" s="169" t="s">
        <v>109</v>
      </c>
      <c r="B35" s="169"/>
      <c r="C35" s="169"/>
      <c r="D35" s="169"/>
      <c r="E35" s="16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</row>
    <row r="36" spans="1:16" ht="15" customHeight="1" x14ac:dyDescent="0.2">
      <c r="B36" s="91" t="s">
        <v>421</v>
      </c>
      <c r="C36" s="176" t="s">
        <v>420</v>
      </c>
      <c r="D36" s="176"/>
      <c r="E36" s="176"/>
      <c r="F36" s="176"/>
      <c r="G36" s="176"/>
      <c r="H36" s="91" t="s">
        <v>419</v>
      </c>
      <c r="I36" s="91" t="s">
        <v>418</v>
      </c>
      <c r="J36" s="91" t="s">
        <v>417</v>
      </c>
      <c r="K36" s="176" t="s">
        <v>416</v>
      </c>
      <c r="L36" s="176"/>
      <c r="M36" s="91" t="s">
        <v>415</v>
      </c>
      <c r="N36" s="91" t="s">
        <v>414</v>
      </c>
      <c r="O36" s="91" t="s">
        <v>413</v>
      </c>
      <c r="P36" s="91" t="s">
        <v>412</v>
      </c>
    </row>
    <row r="37" spans="1:16" ht="37" customHeight="1" x14ac:dyDescent="0.2">
      <c r="B37" s="90" t="s">
        <v>411</v>
      </c>
      <c r="C37" s="173" t="s">
        <v>410</v>
      </c>
      <c r="D37" s="175"/>
      <c r="E37" s="175"/>
      <c r="F37" s="175"/>
      <c r="G37" s="174"/>
      <c r="H37" s="39">
        <v>4</v>
      </c>
      <c r="I37" s="39">
        <v>5</v>
      </c>
      <c r="J37" s="57">
        <f t="shared" ref="J37:J43" si="0">H37*I37</f>
        <v>20</v>
      </c>
      <c r="K37" s="173" t="s">
        <v>409</v>
      </c>
      <c r="L37" s="174"/>
      <c r="M37" s="39">
        <v>3</v>
      </c>
      <c r="N37" s="39">
        <v>4</v>
      </c>
      <c r="O37" s="56">
        <f t="shared" ref="O37:O43" si="1">M37*N37</f>
        <v>12</v>
      </c>
      <c r="P37" s="56" t="str">
        <f t="shared" ref="P37:P43" si="2">IF(O37&gt;=15,"Red",IF(O37&gt;=6,"Amber","Green"))</f>
        <v>Amber</v>
      </c>
    </row>
    <row r="38" spans="1:16" ht="50" customHeight="1" x14ac:dyDescent="0.2">
      <c r="B38" s="46" t="s">
        <v>408</v>
      </c>
      <c r="C38" s="177" t="s">
        <v>407</v>
      </c>
      <c r="D38" s="178"/>
      <c r="E38" s="178"/>
      <c r="F38" s="178"/>
      <c r="G38" s="179"/>
      <c r="H38" s="39">
        <v>4</v>
      </c>
      <c r="I38" s="39">
        <v>3</v>
      </c>
      <c r="J38" s="57">
        <f t="shared" si="0"/>
        <v>12</v>
      </c>
      <c r="K38" s="177" t="s">
        <v>406</v>
      </c>
      <c r="L38" s="179"/>
      <c r="M38" s="39">
        <v>2</v>
      </c>
      <c r="N38" s="39">
        <v>3</v>
      </c>
      <c r="O38" s="56">
        <f t="shared" si="1"/>
        <v>6</v>
      </c>
      <c r="P38" s="56" t="str">
        <f t="shared" si="2"/>
        <v>Amber</v>
      </c>
    </row>
    <row r="39" spans="1:16" ht="26.25" customHeight="1" x14ac:dyDescent="0.2">
      <c r="B39" s="46" t="s">
        <v>405</v>
      </c>
      <c r="C39" s="177" t="s">
        <v>404</v>
      </c>
      <c r="D39" s="178"/>
      <c r="E39" s="178"/>
      <c r="F39" s="178"/>
      <c r="G39" s="179"/>
      <c r="H39" s="39">
        <v>4</v>
      </c>
      <c r="I39" s="39">
        <v>3</v>
      </c>
      <c r="J39" s="57">
        <f t="shared" si="0"/>
        <v>12</v>
      </c>
      <c r="K39" s="177" t="s">
        <v>403</v>
      </c>
      <c r="L39" s="179"/>
      <c r="M39" s="39">
        <v>3</v>
      </c>
      <c r="N39" s="39">
        <v>2</v>
      </c>
      <c r="O39" s="56">
        <f t="shared" si="1"/>
        <v>6</v>
      </c>
      <c r="P39" s="56" t="str">
        <f t="shared" si="2"/>
        <v>Amber</v>
      </c>
    </row>
    <row r="40" spans="1:16" ht="39" customHeight="1" x14ac:dyDescent="0.2">
      <c r="B40" s="46" t="s">
        <v>402</v>
      </c>
      <c r="C40" s="177" t="s">
        <v>401</v>
      </c>
      <c r="D40" s="178"/>
      <c r="E40" s="178"/>
      <c r="F40" s="178"/>
      <c r="G40" s="179"/>
      <c r="H40" s="39">
        <v>3</v>
      </c>
      <c r="I40" s="39">
        <v>4</v>
      </c>
      <c r="J40" s="57">
        <f t="shared" si="0"/>
        <v>12</v>
      </c>
      <c r="K40" s="177" t="s">
        <v>400</v>
      </c>
      <c r="L40" s="179"/>
      <c r="M40" s="39">
        <v>2</v>
      </c>
      <c r="N40" s="39">
        <v>3</v>
      </c>
      <c r="O40" s="56">
        <f t="shared" si="1"/>
        <v>6</v>
      </c>
      <c r="P40" s="56" t="str">
        <f t="shared" si="2"/>
        <v>Amber</v>
      </c>
    </row>
    <row r="41" spans="1:16" ht="34" customHeight="1" x14ac:dyDescent="0.2">
      <c r="B41" s="46" t="s">
        <v>399</v>
      </c>
      <c r="C41" s="177" t="s">
        <v>398</v>
      </c>
      <c r="D41" s="178"/>
      <c r="E41" s="178"/>
      <c r="F41" s="178"/>
      <c r="G41" s="179"/>
      <c r="H41" s="39">
        <v>3</v>
      </c>
      <c r="I41" s="39">
        <v>3</v>
      </c>
      <c r="J41" s="57">
        <f t="shared" si="0"/>
        <v>9</v>
      </c>
      <c r="K41" s="177" t="s">
        <v>397</v>
      </c>
      <c r="L41" s="179"/>
      <c r="M41" s="39">
        <v>2</v>
      </c>
      <c r="N41" s="39">
        <v>2</v>
      </c>
      <c r="O41" s="56">
        <f t="shared" si="1"/>
        <v>4</v>
      </c>
      <c r="P41" s="56" t="str">
        <f t="shared" si="2"/>
        <v>Green</v>
      </c>
    </row>
    <row r="42" spans="1:16" ht="35" customHeight="1" x14ac:dyDescent="0.2">
      <c r="B42" s="46" t="s">
        <v>396</v>
      </c>
      <c r="C42" s="177" t="s">
        <v>395</v>
      </c>
      <c r="D42" s="178"/>
      <c r="E42" s="178"/>
      <c r="F42" s="178"/>
      <c r="G42" s="179"/>
      <c r="H42" s="39">
        <v>3</v>
      </c>
      <c r="I42" s="39">
        <v>4</v>
      </c>
      <c r="J42" s="57">
        <f t="shared" si="0"/>
        <v>12</v>
      </c>
      <c r="K42" s="177" t="s">
        <v>394</v>
      </c>
      <c r="L42" s="179"/>
      <c r="M42" s="39">
        <v>2</v>
      </c>
      <c r="N42" s="39">
        <v>3</v>
      </c>
      <c r="O42" s="56">
        <f t="shared" si="1"/>
        <v>6</v>
      </c>
      <c r="P42" s="56" t="str">
        <f t="shared" si="2"/>
        <v>Amber</v>
      </c>
    </row>
    <row r="43" spans="1:16" ht="15" customHeight="1" x14ac:dyDescent="0.2">
      <c r="B43" s="46" t="s">
        <v>393</v>
      </c>
      <c r="C43" s="177" t="s">
        <v>392</v>
      </c>
      <c r="D43" s="178"/>
      <c r="E43" s="178"/>
      <c r="F43" s="178"/>
      <c r="G43" s="179"/>
      <c r="H43" s="39">
        <v>3</v>
      </c>
      <c r="I43" s="39">
        <v>4</v>
      </c>
      <c r="J43" s="57">
        <f t="shared" si="0"/>
        <v>12</v>
      </c>
      <c r="K43" s="177" t="s">
        <v>391</v>
      </c>
      <c r="L43" s="179"/>
      <c r="M43" s="39">
        <v>2</v>
      </c>
      <c r="N43" s="39">
        <v>3</v>
      </c>
      <c r="O43" s="56">
        <f t="shared" si="1"/>
        <v>6</v>
      </c>
      <c r="P43" s="56" t="str">
        <f t="shared" si="2"/>
        <v>Amber</v>
      </c>
    </row>
  </sheetData>
  <mergeCells count="74">
    <mergeCell ref="C13:P13"/>
    <mergeCell ref="A1:H1"/>
    <mergeCell ref="B2:H2"/>
    <mergeCell ref="B3:H3"/>
    <mergeCell ref="B4:H4"/>
    <mergeCell ref="B5:H5"/>
    <mergeCell ref="C6:D6"/>
    <mergeCell ref="E6:F6"/>
    <mergeCell ref="A8:P8"/>
    <mergeCell ref="C9:P9"/>
    <mergeCell ref="C10:P10"/>
    <mergeCell ref="C11:P11"/>
    <mergeCell ref="C12:P12"/>
    <mergeCell ref="A16:P16"/>
    <mergeCell ref="C17:H17"/>
    <mergeCell ref="I17:K17"/>
    <mergeCell ref="L17:P17"/>
    <mergeCell ref="C18:H18"/>
    <mergeCell ref="I18:K18"/>
    <mergeCell ref="L18:P18"/>
    <mergeCell ref="C19:H19"/>
    <mergeCell ref="I19:K19"/>
    <mergeCell ref="L19:P19"/>
    <mergeCell ref="C20:H20"/>
    <mergeCell ref="I20:K20"/>
    <mergeCell ref="L20:P20"/>
    <mergeCell ref="A22:P22"/>
    <mergeCell ref="C23:E23"/>
    <mergeCell ref="L23:N23"/>
    <mergeCell ref="O23:P23"/>
    <mergeCell ref="C24:E24"/>
    <mergeCell ref="L24:N24"/>
    <mergeCell ref="O24:P24"/>
    <mergeCell ref="C25:E25"/>
    <mergeCell ref="L25:N25"/>
    <mergeCell ref="O25:P25"/>
    <mergeCell ref="C26:E26"/>
    <mergeCell ref="L26:N26"/>
    <mergeCell ref="O26:P26"/>
    <mergeCell ref="C27:E27"/>
    <mergeCell ref="L27:N27"/>
    <mergeCell ref="O27:P27"/>
    <mergeCell ref="C28:E28"/>
    <mergeCell ref="L28:N28"/>
    <mergeCell ref="O28:P28"/>
    <mergeCell ref="C29:E29"/>
    <mergeCell ref="L29:N29"/>
    <mergeCell ref="O29:P29"/>
    <mergeCell ref="C32:E32"/>
    <mergeCell ref="L32:N32"/>
    <mergeCell ref="O32:P32"/>
    <mergeCell ref="A35:P35"/>
    <mergeCell ref="C30:E30"/>
    <mergeCell ref="L30:N30"/>
    <mergeCell ref="O30:P30"/>
    <mergeCell ref="C31:E31"/>
    <mergeCell ref="L31:N31"/>
    <mergeCell ref="O31:P31"/>
    <mergeCell ref="C42:G42"/>
    <mergeCell ref="K42:L42"/>
    <mergeCell ref="C43:G43"/>
    <mergeCell ref="K43:L43"/>
    <mergeCell ref="C38:G38"/>
    <mergeCell ref="K38:L38"/>
    <mergeCell ref="C39:G39"/>
    <mergeCell ref="K39:L39"/>
    <mergeCell ref="C40:G40"/>
    <mergeCell ref="K40:L40"/>
    <mergeCell ref="K37:L37"/>
    <mergeCell ref="C37:G37"/>
    <mergeCell ref="C36:G36"/>
    <mergeCell ref="K36:L36"/>
    <mergeCell ref="C41:G41"/>
    <mergeCell ref="K41:L41"/>
  </mergeCells>
  <conditionalFormatting sqref="B6">
    <cfRule type="cellIs" dxfId="9" priority="1" operator="equal">
      <formula>"Signed off"</formula>
    </cfRule>
    <cfRule type="cellIs" dxfId="8" priority="2" operator="equal">
      <formula>"In review"</formula>
    </cfRule>
  </conditionalFormatting>
  <conditionalFormatting sqref="O24:O32">
    <cfRule type="cellIs" dxfId="7" priority="3" operator="equal">
      <formula>"Done"</formula>
    </cfRule>
    <cfRule type="cellIs" dxfId="6" priority="4" operator="equal">
      <formula>"Blocked"</formula>
    </cfRule>
    <cfRule type="cellIs" dxfId="5" priority="5" operator="equal">
      <formula>"In progress"</formula>
    </cfRule>
  </conditionalFormatting>
  <conditionalFormatting sqref="P37:P57">
    <cfRule type="cellIs" dxfId="4" priority="6" operator="equal">
      <formula>"Red"</formula>
    </cfRule>
    <cfRule type="cellIs" dxfId="3" priority="7" operator="equal">
      <formula>"Amber"</formula>
    </cfRule>
    <cfRule type="cellIs" dxfId="2" priority="8" operator="equal">
      <formula>"Green"</formula>
    </cfRule>
  </conditionalFormatting>
  <dataValidations count="5">
    <dataValidation type="list" sqref="H37:I57 M37:N57" xr:uid="{00000000-0002-0000-0A00-000004000000}">
      <formula1>"1,2,3,4,5"</formula1>
      <formula2>0</formula2>
    </dataValidation>
    <dataValidation type="list" sqref="F24:F32" xr:uid="{00000000-0002-0000-0A00-000003000000}">
      <formula1>"1,2"</formula1>
      <formula2>0</formula2>
    </dataValidation>
    <dataValidation type="list" sqref="O24:O32" xr:uid="{00000000-0002-0000-0A00-000002000000}">
      <formula1>"Planned,In progress,Done,Blocked"</formula1>
      <formula2>0</formula2>
    </dataValidation>
    <dataValidation type="date" operator="greaterThan" allowBlank="1" errorTitle="Invalid date" error="Enter a valid date" sqref="H6" xr:uid="{00000000-0002-0000-0A00-000001000000}">
      <formula1>2020-1-1</formula1>
      <formula2>0</formula2>
    </dataValidation>
    <dataValidation type="list" sqref="B6" xr:uid="{00000000-0002-0000-0A00-000000000000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EA48-22AF-3943-86EC-80987BC9D226}">
  <sheetPr>
    <pageSetUpPr fitToPage="1"/>
  </sheetPr>
  <dimension ref="A1:G21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14.33203125" style="2" customWidth="1"/>
    <col min="2" max="2" width="28" style="2" customWidth="1"/>
    <col min="3" max="3" width="30" style="2" customWidth="1"/>
    <col min="4" max="7" width="14" style="2" customWidth="1"/>
    <col min="8" max="16384" width="8.6640625" style="2"/>
  </cols>
  <sheetData>
    <row r="1" spans="1:7" ht="31.5" customHeight="1" x14ac:dyDescent="0.2">
      <c r="A1" s="171" t="s">
        <v>520</v>
      </c>
      <c r="B1" s="171"/>
      <c r="C1" s="171"/>
      <c r="D1" s="171"/>
      <c r="E1" s="171"/>
      <c r="F1" s="171"/>
      <c r="G1" s="171"/>
    </row>
    <row r="2" spans="1:7" ht="21.75" customHeight="1" x14ac:dyDescent="0.2">
      <c r="A2" s="95" t="s">
        <v>44</v>
      </c>
      <c r="B2" s="172" t="s">
        <v>519</v>
      </c>
      <c r="C2" s="172"/>
      <c r="D2" s="172"/>
      <c r="E2" s="172"/>
      <c r="F2" s="172"/>
      <c r="G2" s="172"/>
    </row>
    <row r="3" spans="1:7" ht="21.75" customHeight="1" x14ac:dyDescent="0.2">
      <c r="A3" s="95" t="s">
        <v>46</v>
      </c>
      <c r="B3" s="172" t="s">
        <v>518</v>
      </c>
      <c r="C3" s="172"/>
      <c r="D3" s="172"/>
      <c r="E3" s="172"/>
      <c r="F3" s="172"/>
      <c r="G3" s="172"/>
    </row>
    <row r="4" spans="1:7" ht="21.75" customHeight="1" x14ac:dyDescent="0.2">
      <c r="A4" s="95" t="s">
        <v>48</v>
      </c>
      <c r="B4" s="172" t="s">
        <v>517</v>
      </c>
      <c r="C4" s="172"/>
      <c r="D4" s="172"/>
      <c r="E4" s="172"/>
      <c r="F4" s="172"/>
      <c r="G4" s="172"/>
    </row>
    <row r="5" spans="1:7" ht="21.75" customHeight="1" x14ac:dyDescent="0.2">
      <c r="A5" s="95" t="s">
        <v>50</v>
      </c>
      <c r="B5" s="172" t="s">
        <v>516</v>
      </c>
      <c r="C5" s="172"/>
      <c r="D5" s="172"/>
      <c r="E5" s="172"/>
      <c r="F5" s="172"/>
      <c r="G5" s="172"/>
    </row>
    <row r="6" spans="1:7" ht="139.5" customHeight="1" x14ac:dyDescent="0.2">
      <c r="A6" s="32" t="s">
        <v>52</v>
      </c>
      <c r="B6" s="33" t="s">
        <v>53</v>
      </c>
    </row>
    <row r="8" spans="1:7" ht="15" customHeight="1" x14ac:dyDescent="0.2">
      <c r="A8" s="169" t="s">
        <v>515</v>
      </c>
      <c r="B8" s="169"/>
      <c r="C8" s="169"/>
      <c r="D8" s="169"/>
      <c r="E8" s="169"/>
      <c r="F8" s="169"/>
      <c r="G8" s="169"/>
    </row>
    <row r="9" spans="1:7" ht="15" customHeight="1" x14ac:dyDescent="0.2">
      <c r="B9" s="55" t="s">
        <v>514</v>
      </c>
      <c r="C9" s="55" t="s">
        <v>335</v>
      </c>
      <c r="D9" s="55" t="s">
        <v>513</v>
      </c>
      <c r="E9" s="55" t="s">
        <v>512</v>
      </c>
      <c r="F9" s="55" t="s">
        <v>218</v>
      </c>
      <c r="G9" s="55" t="s">
        <v>511</v>
      </c>
    </row>
    <row r="10" spans="1:7" ht="15" customHeight="1" x14ac:dyDescent="0.2">
      <c r="B10" s="28" t="s">
        <v>24</v>
      </c>
      <c r="C10" s="28" t="s">
        <v>510</v>
      </c>
      <c r="D10" s="39">
        <v>90</v>
      </c>
      <c r="E10" s="39">
        <v>60</v>
      </c>
      <c r="F10" s="57">
        <f t="shared" ref="F10:F16" si="0">D10-E10</f>
        <v>30</v>
      </c>
      <c r="G10" s="39" t="s">
        <v>55</v>
      </c>
    </row>
    <row r="11" spans="1:7" ht="15" customHeight="1" x14ac:dyDescent="0.2">
      <c r="B11" s="28" t="s">
        <v>509</v>
      </c>
      <c r="C11" s="28" t="s">
        <v>508</v>
      </c>
      <c r="D11" s="39">
        <v>2</v>
      </c>
      <c r="E11" s="39">
        <v>1</v>
      </c>
      <c r="F11" s="57">
        <f t="shared" si="0"/>
        <v>1</v>
      </c>
      <c r="G11" s="39" t="s">
        <v>55</v>
      </c>
    </row>
    <row r="12" spans="1:7" ht="15" customHeight="1" x14ac:dyDescent="0.2">
      <c r="B12" s="28" t="s">
        <v>507</v>
      </c>
      <c r="C12" s="28" t="s">
        <v>506</v>
      </c>
      <c r="D12" s="39">
        <v>5</v>
      </c>
      <c r="E12" s="39">
        <v>3</v>
      </c>
      <c r="F12" s="57">
        <f t="shared" si="0"/>
        <v>2</v>
      </c>
      <c r="G12" s="39" t="s">
        <v>55</v>
      </c>
    </row>
    <row r="13" spans="1:7" ht="15" customHeight="1" x14ac:dyDescent="0.2">
      <c r="B13" s="28" t="s">
        <v>505</v>
      </c>
      <c r="C13" s="28" t="s">
        <v>504</v>
      </c>
      <c r="D13" s="39">
        <v>85</v>
      </c>
      <c r="E13" s="39">
        <v>70</v>
      </c>
      <c r="F13" s="57">
        <f t="shared" si="0"/>
        <v>15</v>
      </c>
      <c r="G13" s="39" t="s">
        <v>55</v>
      </c>
    </row>
    <row r="14" spans="1:7" ht="15" customHeight="1" x14ac:dyDescent="0.2">
      <c r="B14" s="28" t="s">
        <v>503</v>
      </c>
      <c r="C14" s="28" t="s">
        <v>501</v>
      </c>
      <c r="D14" s="39">
        <v>0</v>
      </c>
      <c r="E14" s="39">
        <v>0</v>
      </c>
      <c r="F14" s="57">
        <f t="shared" si="0"/>
        <v>0</v>
      </c>
      <c r="G14" s="39" t="s">
        <v>55</v>
      </c>
    </row>
    <row r="15" spans="1:7" ht="15" customHeight="1" x14ac:dyDescent="0.2">
      <c r="B15" s="28" t="s">
        <v>502</v>
      </c>
      <c r="C15" s="28" t="s">
        <v>501</v>
      </c>
      <c r="D15" s="39">
        <v>0</v>
      </c>
      <c r="E15" s="39">
        <v>0</v>
      </c>
      <c r="F15" s="57">
        <f t="shared" si="0"/>
        <v>0</v>
      </c>
      <c r="G15" s="39" t="s">
        <v>55</v>
      </c>
    </row>
    <row r="16" spans="1:7" ht="15" customHeight="1" x14ac:dyDescent="0.2">
      <c r="B16" s="28" t="s">
        <v>500</v>
      </c>
      <c r="C16" s="28" t="s">
        <v>499</v>
      </c>
      <c r="D16" s="39">
        <v>30</v>
      </c>
      <c r="E16" s="39">
        <v>28</v>
      </c>
      <c r="F16" s="57">
        <f t="shared" si="0"/>
        <v>2</v>
      </c>
      <c r="G16" s="39" t="s">
        <v>55</v>
      </c>
    </row>
    <row r="18" spans="1:7" ht="15" customHeight="1" x14ac:dyDescent="0.2">
      <c r="A18" s="169" t="s">
        <v>498</v>
      </c>
      <c r="B18" s="169"/>
      <c r="C18" s="169"/>
      <c r="D18" s="169"/>
      <c r="E18" s="169"/>
      <c r="F18" s="169"/>
      <c r="G18" s="169"/>
    </row>
    <row r="19" spans="1:7" ht="15" customHeight="1" x14ac:dyDescent="0.2">
      <c r="B19" s="55" t="s">
        <v>497</v>
      </c>
      <c r="C19" s="184" t="s">
        <v>496</v>
      </c>
      <c r="D19" s="184"/>
      <c r="E19" s="184"/>
      <c r="F19" s="184"/>
      <c r="G19" s="184"/>
    </row>
    <row r="20" spans="1:7" ht="15" customHeight="1" x14ac:dyDescent="0.2">
      <c r="B20" s="55" t="s">
        <v>495</v>
      </c>
      <c r="C20" s="184" t="s">
        <v>494</v>
      </c>
      <c r="D20" s="184"/>
      <c r="E20" s="184"/>
      <c r="F20" s="184"/>
      <c r="G20" s="184"/>
    </row>
    <row r="21" spans="1:7" ht="15" customHeight="1" x14ac:dyDescent="0.2">
      <c r="B21" s="55" t="s">
        <v>493</v>
      </c>
      <c r="C21" s="184" t="s">
        <v>492</v>
      </c>
      <c r="D21" s="184"/>
      <c r="E21" s="184"/>
      <c r="F21" s="184"/>
      <c r="G21" s="184"/>
    </row>
  </sheetData>
  <mergeCells count="10">
    <mergeCell ref="C21:G21"/>
    <mergeCell ref="A8:G8"/>
    <mergeCell ref="A18:G18"/>
    <mergeCell ref="C19:G19"/>
    <mergeCell ref="C20:G20"/>
    <mergeCell ref="A1:G1"/>
    <mergeCell ref="B2:G2"/>
    <mergeCell ref="B3:G3"/>
    <mergeCell ref="B4:G4"/>
    <mergeCell ref="B5:G5"/>
  </mergeCells>
  <conditionalFormatting sqref="B6">
    <cfRule type="cellIs" dxfId="1" priority="1" operator="equal">
      <formula>"Signed off"</formula>
    </cfRule>
    <cfRule type="cellIs" dxfId="0" priority="2" operator="equal">
      <formula>"In review"</formula>
    </cfRule>
  </conditionalFormatting>
  <dataValidations count="2">
    <dataValidation type="date" operator="greaterThan" allowBlank="1" errorTitle="Invalid date" error="Enter a valid date" sqref="G10:G16" xr:uid="{00000000-0002-0000-0B00-000002000000}">
      <formula1>2020-1-1</formula1>
      <formula2>0</formula2>
    </dataValidation>
    <dataValidation type="list" sqref="B6" xr:uid="{00000000-0002-0000-0B00-000000000000}">
      <formula1>"Open,In review,Signed off"</formula1>
      <formula2>0</formula2>
    </dataValidation>
  </dataValidations>
  <pageMargins left="0.4" right="0.4" top="0.5" bottom="0.5" header="0.511811023622047" footer="0.511811023622047"/>
  <pageSetup paperSize="9" fitToHeight="0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AC7-DB34-3B4A-8ED4-29B09220AB80}">
  <sheetPr>
    <pageSetUpPr fitToPage="1"/>
  </sheetPr>
  <dimension ref="A1:D64"/>
  <sheetViews>
    <sheetView zoomScaleNormal="100" workbookViewId="0">
      <selection activeCell="R24" sqref="R24"/>
    </sheetView>
  </sheetViews>
  <sheetFormatPr baseColWidth="10" defaultColWidth="8.6640625" defaultRowHeight="15" x14ac:dyDescent="0.2"/>
  <cols>
    <col min="1" max="1" width="3" style="2" customWidth="1"/>
    <col min="2" max="4" width="30" style="2" customWidth="1"/>
    <col min="5" max="16384" width="8.6640625" style="2"/>
  </cols>
  <sheetData>
    <row r="1" spans="1:4" ht="31.5" customHeight="1" x14ac:dyDescent="0.2">
      <c r="A1" s="185" t="s">
        <v>557</v>
      </c>
      <c r="B1" s="185"/>
      <c r="C1" s="185"/>
      <c r="D1" s="185"/>
    </row>
    <row r="3" spans="1:4" ht="15.75" customHeight="1" x14ac:dyDescent="0.2">
      <c r="B3" s="63" t="s">
        <v>556</v>
      </c>
    </row>
    <row r="4" spans="1:4" ht="15" customHeight="1" x14ac:dyDescent="0.2">
      <c r="B4" s="28" t="s">
        <v>273</v>
      </c>
    </row>
    <row r="5" spans="1:4" ht="15" customHeight="1" x14ac:dyDescent="0.2">
      <c r="B5" s="28" t="s">
        <v>555</v>
      </c>
    </row>
    <row r="6" spans="1:4" ht="15" customHeight="1" x14ac:dyDescent="0.2">
      <c r="B6" s="28" t="s">
        <v>293</v>
      </c>
    </row>
    <row r="7" spans="1:4" ht="15" customHeight="1" x14ac:dyDescent="0.2">
      <c r="B7" s="28" t="s">
        <v>554</v>
      </c>
    </row>
    <row r="8" spans="1:4" ht="15" customHeight="1" x14ac:dyDescent="0.2">
      <c r="B8" s="28" t="s">
        <v>268</v>
      </c>
    </row>
    <row r="9" spans="1:4" ht="15" customHeight="1" x14ac:dyDescent="0.2">
      <c r="B9" s="28" t="s">
        <v>553</v>
      </c>
    </row>
    <row r="10" spans="1:4" ht="15" customHeight="1" x14ac:dyDescent="0.2">
      <c r="B10" s="28" t="s">
        <v>552</v>
      </c>
    </row>
    <row r="12" spans="1:4" ht="15.75" customHeight="1" x14ac:dyDescent="0.2">
      <c r="B12" s="63" t="s">
        <v>551</v>
      </c>
    </row>
    <row r="13" spans="1:4" ht="15" customHeight="1" x14ac:dyDescent="0.2">
      <c r="B13" s="28" t="s">
        <v>279</v>
      </c>
    </row>
    <row r="14" spans="1:4" ht="15" customHeight="1" x14ac:dyDescent="0.2">
      <c r="B14" s="28" t="s">
        <v>267</v>
      </c>
    </row>
    <row r="15" spans="1:4" ht="15" customHeight="1" x14ac:dyDescent="0.2">
      <c r="B15" s="28" t="s">
        <v>284</v>
      </c>
    </row>
    <row r="16" spans="1:4" ht="15" customHeight="1" x14ac:dyDescent="0.2">
      <c r="B16" s="28" t="s">
        <v>550</v>
      </c>
    </row>
    <row r="17" spans="2:2" ht="15" customHeight="1" x14ac:dyDescent="0.2">
      <c r="B17" s="28" t="s">
        <v>549</v>
      </c>
    </row>
    <row r="19" spans="2:2" ht="15.75" customHeight="1" x14ac:dyDescent="0.2">
      <c r="B19" s="63" t="s">
        <v>548</v>
      </c>
    </row>
    <row r="20" spans="2:2" ht="15" customHeight="1" x14ac:dyDescent="0.2">
      <c r="B20" s="28" t="s">
        <v>53</v>
      </c>
    </row>
    <row r="21" spans="2:2" ht="15" customHeight="1" x14ac:dyDescent="0.2">
      <c r="B21" s="28" t="s">
        <v>547</v>
      </c>
    </row>
    <row r="22" spans="2:2" ht="15" customHeight="1" x14ac:dyDescent="0.2">
      <c r="B22" s="28" t="s">
        <v>276</v>
      </c>
    </row>
    <row r="23" spans="2:2" ht="15" customHeight="1" x14ac:dyDescent="0.2">
      <c r="B23" s="28" t="s">
        <v>546</v>
      </c>
    </row>
    <row r="24" spans="2:2" ht="15" customHeight="1" x14ac:dyDescent="0.2">
      <c r="B24" s="28" t="s">
        <v>545</v>
      </c>
    </row>
    <row r="25" spans="2:2" ht="15" customHeight="1" x14ac:dyDescent="0.2">
      <c r="B25" s="28" t="s">
        <v>422</v>
      </c>
    </row>
    <row r="26" spans="2:2" ht="15" customHeight="1" x14ac:dyDescent="0.2">
      <c r="B26" s="28" t="s">
        <v>544</v>
      </c>
    </row>
    <row r="27" spans="2:2" ht="15" customHeight="1" x14ac:dyDescent="0.2">
      <c r="B27" s="28" t="s">
        <v>543</v>
      </c>
    </row>
    <row r="28" spans="2:2" ht="15" customHeight="1" x14ac:dyDescent="0.2">
      <c r="B28" s="28" t="s">
        <v>542</v>
      </c>
    </row>
    <row r="30" spans="2:2" ht="15.75" customHeight="1" x14ac:dyDescent="0.2">
      <c r="B30" s="63" t="s">
        <v>541</v>
      </c>
    </row>
    <row r="31" spans="2:2" ht="15" customHeight="1" x14ac:dyDescent="0.2">
      <c r="B31" s="28" t="s">
        <v>65</v>
      </c>
    </row>
    <row r="32" spans="2:2" ht="15" customHeight="1" x14ac:dyDescent="0.2">
      <c r="B32" s="28" t="s">
        <v>68</v>
      </c>
    </row>
    <row r="33" spans="2:2" ht="15" customHeight="1" x14ac:dyDescent="0.2">
      <c r="B33" s="28" t="s">
        <v>70</v>
      </c>
    </row>
    <row r="34" spans="2:2" ht="15" customHeight="1" x14ac:dyDescent="0.2">
      <c r="B34" s="28" t="s">
        <v>72</v>
      </c>
    </row>
    <row r="35" spans="2:2" ht="15" customHeight="1" x14ac:dyDescent="0.2">
      <c r="B35" s="28" t="s">
        <v>74</v>
      </c>
    </row>
    <row r="36" spans="2:2" ht="15" customHeight="1" x14ac:dyDescent="0.2">
      <c r="B36" s="28" t="s">
        <v>76</v>
      </c>
    </row>
    <row r="37" spans="2:2" ht="15" customHeight="1" x14ac:dyDescent="0.2">
      <c r="B37" s="28" t="s">
        <v>92</v>
      </c>
    </row>
    <row r="38" spans="2:2" ht="15" customHeight="1" x14ac:dyDescent="0.2">
      <c r="B38" s="28" t="s">
        <v>80</v>
      </c>
    </row>
    <row r="40" spans="2:2" ht="15.75" customHeight="1" x14ac:dyDescent="0.2">
      <c r="B40" s="63" t="s">
        <v>540</v>
      </c>
    </row>
    <row r="41" spans="2:2" ht="15" customHeight="1" x14ac:dyDescent="0.2">
      <c r="B41" s="28" t="s">
        <v>539</v>
      </c>
    </row>
    <row r="42" spans="2:2" ht="15" customHeight="1" x14ac:dyDescent="0.2">
      <c r="B42" s="28" t="s">
        <v>538</v>
      </c>
    </row>
    <row r="43" spans="2:2" ht="15" customHeight="1" x14ac:dyDescent="0.2">
      <c r="B43" s="28" t="s">
        <v>537</v>
      </c>
    </row>
    <row r="44" spans="2:2" ht="15" customHeight="1" x14ac:dyDescent="0.2">
      <c r="B44" s="28"/>
    </row>
    <row r="45" spans="2:2" ht="15" customHeight="1" x14ac:dyDescent="0.2">
      <c r="B45" s="28"/>
    </row>
    <row r="47" spans="2:2" ht="15.75" customHeight="1" x14ac:dyDescent="0.2">
      <c r="B47" s="63" t="s">
        <v>536</v>
      </c>
    </row>
    <row r="48" spans="2:2" ht="15" customHeight="1" x14ac:dyDescent="0.2">
      <c r="B48" s="28" t="s">
        <v>535</v>
      </c>
    </row>
    <row r="49" spans="2:2" ht="15" customHeight="1" x14ac:dyDescent="0.2">
      <c r="B49" s="28" t="s">
        <v>534</v>
      </c>
    </row>
    <row r="50" spans="2:2" ht="15" customHeight="1" x14ac:dyDescent="0.2">
      <c r="B50" s="28" t="s">
        <v>533</v>
      </c>
    </row>
    <row r="51" spans="2:2" ht="15" customHeight="1" x14ac:dyDescent="0.2">
      <c r="B51" s="28" t="s">
        <v>532</v>
      </c>
    </row>
    <row r="52" spans="2:2" ht="15" customHeight="1" x14ac:dyDescent="0.2">
      <c r="B52" s="28" t="s">
        <v>531</v>
      </c>
    </row>
    <row r="53" spans="2:2" ht="15" customHeight="1" x14ac:dyDescent="0.2">
      <c r="B53" s="28" t="s">
        <v>530</v>
      </c>
    </row>
    <row r="54" spans="2:2" ht="15" customHeight="1" x14ac:dyDescent="0.2">
      <c r="B54" s="28" t="s">
        <v>529</v>
      </c>
    </row>
    <row r="56" spans="2:2" ht="15.75" customHeight="1" x14ac:dyDescent="0.2">
      <c r="B56" s="63" t="s">
        <v>528</v>
      </c>
    </row>
    <row r="57" spans="2:2" ht="15" customHeight="1" x14ac:dyDescent="0.2">
      <c r="B57" s="28" t="s">
        <v>527</v>
      </c>
    </row>
    <row r="58" spans="2:2" ht="15" customHeight="1" x14ac:dyDescent="0.2">
      <c r="B58" s="28" t="s">
        <v>526</v>
      </c>
    </row>
    <row r="59" spans="2:2" ht="15" customHeight="1" x14ac:dyDescent="0.2">
      <c r="B59" s="28" t="s">
        <v>525</v>
      </c>
    </row>
    <row r="61" spans="2:2" ht="15.75" customHeight="1" x14ac:dyDescent="0.2">
      <c r="B61" s="63" t="s">
        <v>524</v>
      </c>
    </row>
    <row r="62" spans="2:2" ht="15" customHeight="1" x14ac:dyDescent="0.2">
      <c r="B62" s="28" t="s">
        <v>523</v>
      </c>
    </row>
    <row r="63" spans="2:2" ht="15" customHeight="1" x14ac:dyDescent="0.2">
      <c r="B63" s="28" t="s">
        <v>522</v>
      </c>
    </row>
    <row r="64" spans="2:2" ht="15" customHeight="1" x14ac:dyDescent="0.2">
      <c r="B64" s="28" t="s">
        <v>521</v>
      </c>
    </row>
  </sheetData>
  <sheetProtection sheet="1" objects="1" scenarios="1"/>
  <mergeCells count="1">
    <mergeCell ref="A1:D1"/>
  </mergeCells>
  <pageMargins left="0.4" right="0.4" top="0.5" bottom="0.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1_Dashboard</vt:lpstr>
      <vt:lpstr>2_Method_Map</vt:lpstr>
      <vt:lpstr>3_P0_Readiness</vt:lpstr>
      <vt:lpstr>4_P0_RACI</vt:lpstr>
      <vt:lpstr>5_P1_Scope</vt:lpstr>
      <vt:lpstr>6_P2_Touchpoints</vt:lpstr>
      <vt:lpstr>7_P2_Attributes</vt:lpstr>
      <vt:lpstr>8_P3_Mapping</vt:lpstr>
      <vt:lpstr>9_P3_Apps</vt:lpstr>
      <vt:lpstr>10_P4_Pattern</vt:lpstr>
      <vt:lpstr>11_P5_Roadmap</vt:lpstr>
      <vt:lpstr>12_P6_Evaluation</vt:lpstr>
      <vt:lpstr>13_Reference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Weller, Lukas</dc:creator>
  <cp:lastModifiedBy>Weller, Lukas</cp:lastModifiedBy>
  <dcterms:created xsi:type="dcterms:W3CDTF">2026-06-01T21:42:01Z</dcterms:created>
  <dcterms:modified xsi:type="dcterms:W3CDTF">2026-06-01T21:47:42Z</dcterms:modified>
</cp:coreProperties>
</file>