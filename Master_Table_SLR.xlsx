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ukas/Documents/Studium/Masters thesis/github/"/>
    </mc:Choice>
  </mc:AlternateContent>
  <xr:revisionPtr revIDLastSave="0" documentId="13_ncr:1_{F0C43292-1AF6-9948-8D58-D38BAF043BD5}" xr6:coauthVersionLast="47" xr6:coauthVersionMax="47" xr10:uidLastSave="{00000000-0000-0000-0000-000000000000}"/>
  <bookViews>
    <workbookView xWindow="20780" yWindow="5900" windowWidth="27640" windowHeight="16940" xr2:uid="{49574A61-F58B-BD4B-8B58-C03724E58C6A}"/>
  </bookViews>
  <sheets>
    <sheet name="Sys_lit_master" sheetId="2" r:id="rId1"/>
  </sheets>
  <definedNames>
    <definedName name="Slicer_Core_Subset_incl.">#N/A</definedName>
    <definedName name="Slicer_Selected">#N/A</definedName>
    <definedName name="Slicer_Theme_Primary">#N/A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405" i="2" l="1"/>
  <c r="B405"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alcChain>
</file>

<file path=xl/sharedStrings.xml><?xml version="1.0" encoding="utf-8"?>
<sst xmlns="http://schemas.openxmlformats.org/spreadsheetml/2006/main" count="7075" uniqueCount="2513">
  <si>
    <t>SLR Master Table</t>
  </si>
  <si>
    <t>Selected</t>
  </si>
  <si>
    <t>Title</t>
  </si>
  <si>
    <t>Authors</t>
  </si>
  <si>
    <t>Outlet</t>
  </si>
  <si>
    <t>Publisher</t>
  </si>
  <si>
    <t>Publication_Year</t>
  </si>
  <si>
    <t>Start_Page</t>
  </si>
  <si>
    <t>End_Page</t>
  </si>
  <si>
    <t>Original_DOI</t>
  </si>
  <si>
    <t>DOI_Link</t>
  </si>
  <si>
    <t>Source_Database</t>
  </si>
  <si>
    <t>Date_of_Export</t>
  </si>
  <si>
    <t>Document_Type</t>
  </si>
  <si>
    <t>Search_Origin</t>
  </si>
  <si>
    <t>Theme_Primary</t>
  </si>
  <si>
    <t>Tier</t>
  </si>
  <si>
    <t>VHB_Rating</t>
  </si>
  <si>
    <t>Litbasket</t>
  </si>
  <si>
    <t>Rating_Source</t>
  </si>
  <si>
    <t>Foundationality_1_5</t>
  </si>
  <si>
    <t>Topic_Fit_1_5</t>
  </si>
  <si>
    <t>Outlet_Quality_1_5</t>
  </si>
  <si>
    <t>Bridge_Value_0_3</t>
  </si>
  <si>
    <t>Weighted_Total (legend)</t>
  </si>
  <si>
    <t>justification_note</t>
  </si>
  <si>
    <t>Core_Subset_incl.</t>
  </si>
  <si>
    <t>Chapter_Core_Category</t>
  </si>
  <si>
    <t>Core_Reason</t>
  </si>
  <si>
    <t>Og_ID</t>
  </si>
  <si>
    <t>Y</t>
  </si>
  <si>
    <t>A Design Science Research Methodology for Information Systems Research</t>
  </si>
  <si>
    <t>Peffers, Tuunanen, Rothenberger &amp; Chatterjee</t>
  </si>
  <si>
    <t>Journal of Management Information Systems</t>
  </si>
  <si>
    <t>Taylor &amp; Francis Group</t>
  </si>
  <si>
    <t>10.2753/MIS0742-1222240302</t>
  </si>
  <si>
    <t>https://doi.org/10.2753/MIS0742-1222240302</t>
  </si>
  <si>
    <t>Manual</t>
  </si>
  <si>
    <t>manual</t>
  </si>
  <si>
    <t>Journal Article</t>
  </si>
  <si>
    <t>core method. paper</t>
  </si>
  <si>
    <t>Methodology</t>
  </si>
  <si>
    <t>Method-Core</t>
  </si>
  <si>
    <t>A</t>
  </si>
  <si>
    <t>2XS</t>
  </si>
  <si>
    <t>VHB WI 2024; VHB TIE 2024</t>
  </si>
  <si>
    <t>n/a</t>
  </si>
  <si>
    <t>except from ranking</t>
  </si>
  <si>
    <t>Defines the canonical DSR process from problem identification to evaluation.</t>
  </si>
  <si>
    <t>Methodology core</t>
  </si>
  <si>
    <t>Canonical DSR process model</t>
  </si>
  <si>
    <t>A Framework for Information Systems Architecture</t>
  </si>
  <si>
    <t>Zachman</t>
  </si>
  <si>
    <t>IBM Systems Journal</t>
  </si>
  <si>
    <t>10.1147/sj.263.0276</t>
  </si>
  <si>
    <t>https://doi.org/10.1147/sj.263.0276</t>
  </si>
  <si>
    <t>core theoretical paper</t>
  </si>
  <si>
    <t>EAM</t>
  </si>
  <si>
    <t>2XL</t>
  </si>
  <si>
    <t>Foundational architecture framework; indispensable for conceptual lineage of EA.</t>
  </si>
  <si>
    <t>chapter core</t>
  </si>
  <si>
    <t>Tier 1 core anchor</t>
  </si>
  <si>
    <t>A Resource-Based Perspective of Value Generation through Enterprise Architecture Management</t>
  </si>
  <si>
    <t>van de Wetering</t>
  </si>
  <si>
    <t>Information &amp; Management</t>
  </si>
  <si>
    <t>10.1016/j.im.2020.103266</t>
  </si>
  <si>
    <t>https://doi.org/10.1016/j.im.2020.103266</t>
  </si>
  <si>
    <t>B</t>
  </si>
  <si>
    <t>XS</t>
  </si>
  <si>
    <t>VHB WI 2024</t>
  </si>
  <si>
    <t>Strong capability-based extension of EAM value generation.</t>
  </si>
  <si>
    <t>Strong chapter support</t>
  </si>
  <si>
    <t>Tier 2 selected paper retained</t>
  </si>
  <si>
    <t>A Theory Building Study of Enterprise Architecture Practices and Benefits</t>
  </si>
  <si>
    <t>Foorthuis et al.</t>
  </si>
  <si>
    <t>Information Systems Frontiers</t>
  </si>
  <si>
    <t>10.1007/s10796-014-9542-1</t>
  </si>
  <si>
    <t>https://doi.org/10.1007/s10796-014-9542-1</t>
  </si>
  <si>
    <t>Widely used empirical grounding for EA practices and organizational benefits.</t>
  </si>
  <si>
    <t>Achieving Benefits with Enterprise Architecture</t>
  </si>
  <si>
    <t>Shanks et al.</t>
  </si>
  <si>
    <t>Journal of Strategic Information Systems</t>
  </si>
  <si>
    <t>10.1016/j.jsis.2018.03.001</t>
  </si>
  <si>
    <t>https://doi.org/10.1016/j.jsis.2018.03.001</t>
  </si>
  <si>
    <t>Top-tier paper linking EA service capability to benefits and dynamic capabilities.</t>
  </si>
  <si>
    <t>Action Design Research</t>
  </si>
  <si>
    <t>Sein, Henfridsson, Purao, Rossi &amp; Lindgren</t>
  </si>
  <si>
    <t>MIS Quarterly</t>
  </si>
  <si>
    <t>University of Minnesota</t>
  </si>
  <si>
    <t>10.2307/23043488</t>
  </si>
  <si>
    <t>https://doi.org/10.2307/23043488</t>
  </si>
  <si>
    <t>A+</t>
  </si>
  <si>
    <t>Useful if the thesis emphasizes iterative co-creation and context-sensitive artifact development.</t>
  </si>
  <si>
    <t>Methodology support</t>
  </si>
  <si>
    <t>Strengthens iterative DSR logic</t>
  </si>
  <si>
    <t>An Empirical Analysis of the Factors and Measures of Enterprise Architecture Management Success</t>
  </si>
  <si>
    <t>Lange, Mendling &amp; Recker</t>
  </si>
  <si>
    <t>European Journal of Information Systems</t>
  </si>
  <si>
    <t>10.1057/ejis.2014.39</t>
  </si>
  <si>
    <t>https://doi.org/10.1057/ejis.2014.39</t>
  </si>
  <si>
    <t>Strong EAM-specific model for success measurement and organizational anchoring.</t>
  </si>
  <si>
    <t>Analyzing Enterprise Architecture in National Governments</t>
  </si>
  <si>
    <t>Janssen &amp; Hjort-Madsen</t>
  </si>
  <si>
    <t>Hawaii International Conference on System Sciences</t>
  </si>
  <si>
    <t>10.1109/HICSS.2007.79</t>
  </si>
  <si>
    <t>https://doi.org/10.1109/HICSS.2007.79</t>
  </si>
  <si>
    <t>Direct public-sector EA anchor; important despite proceedings outlet.</t>
  </si>
  <si>
    <t>Architectures for Enterprise Integration and Interoperability: Past, Present and Future</t>
  </si>
  <si>
    <t>Chen, Doumeingts &amp; Vernadat</t>
  </si>
  <si>
    <t>Computers in Industry</t>
  </si>
  <si>
    <t>10.1016/j.compind.2007.12.016</t>
  </si>
  <si>
    <t>https://doi.org/10.1016/j.compind.2007.12.016</t>
  </si>
  <si>
    <t>Bridge</t>
  </si>
  <si>
    <t>3XL</t>
  </si>
  <si>
    <t>Best integration/interoperability architecture bridge between EA and DPP ecosystems.</t>
  </si>
  <si>
    <t>Data governance: A conceptual framework, structured review, and research agenda</t>
  </si>
  <si>
    <t>Abraham, Schneider &amp; vom Brocke</t>
  </si>
  <si>
    <t>International Journal of Information Management</t>
  </si>
  <si>
    <t>10.1016/j.ijinfomgt.2019.07.008</t>
  </si>
  <si>
    <t>https://doi.org/10.1016/j.ijinfomgt.2019.07.008</t>
  </si>
  <si>
    <t>DPP</t>
  </si>
  <si>
    <t>S</t>
  </si>
  <si>
    <t>Strong B-ranked bridge paper; useful to strengthen DPP governance and data-management foundations.</t>
  </si>
  <si>
    <t>Data sustainability: Data governance in data infrastructures across technological and human generations</t>
  </si>
  <si>
    <t>Rolland, Hanseth &amp; Monteiro</t>
  </si>
  <si>
    <t>Information and Organization</t>
  </si>
  <si>
    <t>10.1016/j.infoandorg.2023.100449</t>
  </si>
  <si>
    <t>https://doi.org/10.1016/j.infoandorg.2023.100449</t>
  </si>
  <si>
    <t>High-quality IS bridge on long-term data governance in infrastructures; relevant for DPP ecosystem durability and governance.</t>
  </si>
  <si>
    <t>Design Science in Information Systems Research</t>
  </si>
  <si>
    <t>Hevner, March, Park &amp; Ram</t>
  </si>
  <si>
    <t>10.2307/25148625</t>
  </si>
  <si>
    <t>https://doi.org/10.2307/25148625</t>
  </si>
  <si>
    <t>Foundational DSR paradigm in IS.</t>
  </si>
  <si>
    <t>Canonical DSR foundation</t>
  </si>
  <si>
    <t>Design Science Research Contributions: Finding a Balance between Artifact and Theory</t>
  </si>
  <si>
    <t>Baskerville, Baiyere, Gregor, Hevner &amp; Rossi</t>
  </si>
  <si>
    <t>Journal of the Association for Information Systems</t>
  </si>
  <si>
    <t>AIS</t>
  </si>
  <si>
    <t>10.17705/1jais.00495</t>
  </si>
  <si>
    <t>https://doi.org/10.17705/1jais.00495</t>
  </si>
  <si>
    <t>Strengthens the balance between artifact contribution and theoretical contribution.</t>
  </si>
  <si>
    <t>Rigor vs relevance framing</t>
  </si>
  <si>
    <t>Enterprise Architecture as Strategy: Creating a Foundation for Business Execution</t>
  </si>
  <si>
    <t>Ross, Weill &amp; Robertson</t>
  </si>
  <si>
    <t>Book (Harvard Business School Press)</t>
  </si>
  <si>
    <t>https://books.google.de/books/about/Enterprise_Architecture_As_Strategy.html?id=7ToAqRXVjQwC&amp;redir_esc=y</t>
  </si>
  <si>
    <t>Canonical EA strategy book; essential to frame EA as coordination and execution logic despite no DOI/ranking entry.</t>
  </si>
  <si>
    <t>high tier</t>
  </si>
  <si>
    <t>Enterprise Architecture for a Facilitated
Transformation from a Linear to a Circular Economy</t>
  </si>
  <si>
    <t>Laumann, Felix &amp;
Tambo, Torben</t>
  </si>
  <si>
    <t>Sustainability</t>
  </si>
  <si>
    <t>MDPI</t>
  </si>
  <si>
    <t>10.3390/su10113882</t>
  </si>
  <si>
    <t>https://doi.org/10.3390/su10113882</t>
  </si>
  <si>
    <t>bridge-sustainability paper, but careful: MDPI</t>
  </si>
  <si>
    <t>N</t>
  </si>
  <si>
    <t>European Interoperability Framework (EIF)</t>
  </si>
  <si>
    <t>European Commission</t>
  </si>
  <si>
    <t>https://ec.europa.eu/isa2/sites/default/files/eif_brochure_final.pdf</t>
  </si>
  <si>
    <t>Policy / Framework</t>
  </si>
  <si>
    <t>Key EU interoperability framework directly relevant to DPP and public procurement integration</t>
  </si>
  <si>
    <t>policy core</t>
  </si>
  <si>
    <t>How Does Enterprise Architecture Add Value to Organisations?</t>
  </si>
  <si>
    <t>Tamm, Seddon, Shanks &amp; Reynolds</t>
  </si>
  <si>
    <t>Communications of the Association for Information Systems</t>
  </si>
  <si>
    <t>10.17705/1CAIS.02810</t>
  </si>
  <si>
    <t>https://doi.org/10.17705/1CAIS.02810</t>
  </si>
  <si>
    <t>Key benefits model for explaining how EA creates organizational value.</t>
  </si>
  <si>
    <t>Interoperability Frameworks and Enterprise Architectures in e-Government Initiatives in Europe and the United States</t>
  </si>
  <si>
    <t>Guijarro</t>
  </si>
  <si>
    <t>Government Information Quarterly</t>
  </si>
  <si>
    <t>10.1016/j.giq.2006.05.003</t>
  </si>
  <si>
    <t>https://doi.org/10.1016/j.giq.2006.05.003</t>
  </si>
  <si>
    <t>XL</t>
  </si>
  <si>
    <t>Very close to thesis context: interoperability frameworks and enterprise architectures in government.</t>
  </si>
  <si>
    <t>Outcomes and Success Factors of Enterprise IT Architecture Management</t>
  </si>
  <si>
    <t>Schmidt &amp; Buxmann</t>
  </si>
  <si>
    <t>10.1057/ejis.2010.68</t>
  </si>
  <si>
    <t>https://doi.org/10.1057/ejis.2010.68</t>
  </si>
  <si>
    <t>Top-ranked empirical paper on EAM outcomes and success factors.</t>
  </si>
  <si>
    <t>Platforms and Infrastructures in the Digital Age</t>
  </si>
  <si>
    <t>Constantinides, Panos; Henfridsson, Ola; Parker, Geoffrey G.</t>
  </si>
  <si>
    <t>Information Systems Research</t>
  </si>
  <si>
    <t>INFORMS</t>
  </si>
  <si>
    <t>381</t>
  </si>
  <si>
    <t>400</t>
  </si>
  <si>
    <t>10.1287/isre.2018.0794</t>
  </si>
  <si>
    <t>https://doi.org/10.1287/isre.2018.0794</t>
  </si>
  <si>
    <t>top-tier theoretical bridge for digital infrastructures and platforms</t>
  </si>
  <si>
    <t>Positioning and Presenting Design Science Research for Maximum Impact</t>
  </si>
  <si>
    <t>Gregor &amp; Hevner</t>
  </si>
  <si>
    <t>10.25300/MISQ/2013/37.2.01</t>
  </si>
  <si>
    <t>https://doi.org/10.25300/MISQ/2013/37.2.01</t>
  </si>
  <si>
    <t>Clarifies DSR contribution types, knowledge contributions, and presentation logic.</t>
  </si>
  <si>
    <t>DSR contribution framing</t>
  </si>
  <si>
    <t>The Digital Platform: A Research Agenda</t>
  </si>
  <si>
    <t>de Reuver, Mark; Sørensen, Carsten; Basole, Rahul C.</t>
  </si>
  <si>
    <t>Journal of Information Technology</t>
  </si>
  <si>
    <t>SAGE</t>
  </si>
  <si>
    <t>124</t>
  </si>
  <si>
    <t>135</t>
  </si>
  <si>
    <t>10.1057/s41265-016-0033-3</t>
  </si>
  <si>
    <t>https://doi.org/10.1057/s41265-016-0033-3</t>
  </si>
  <si>
    <t>top-tier platform/infrastructure</t>
  </si>
  <si>
    <t>TOGAF Standard, 10th Edition Announcement</t>
  </si>
  <si>
    <t>The Open Group</t>
  </si>
  <si>
    <t>https://www.opengroup.org/open-group-announces-launch-togaf-standard-10th-edition</t>
  </si>
  <si>
    <t>Standard / Whitepaper</t>
  </si>
  <si>
    <t>Essential EA standard (TOGAF)</t>
  </si>
  <si>
    <t>Using Enterprise Architecture Standards in Managing Information Technology</t>
  </si>
  <si>
    <t>Boh &amp; Yellin</t>
  </si>
  <si>
    <t>10.2753/MIS0742-1222230307</t>
  </si>
  <si>
    <t>https://doi.org/10.2753/MIS0742-1222230307</t>
  </si>
  <si>
    <t>High-ranked empirical anchor on EA standards and governance mechanisms.</t>
  </si>
  <si>
    <t>Public procurement, innovation and industrial policy: Rationales, roles, capabilities and implementation</t>
  </si>
  <si>
    <t>Uyarra, Elvira; Zabala-Iturriagagoitia, Jon Mikel; Flanagan, Kieron; Magro, Edurne</t>
  </si>
  <si>
    <t>Research Policy</t>
  </si>
  <si>
    <t>Elsevier</t>
  </si>
  <si>
    <t>103844</t>
  </si>
  <si>
    <t>10.1016/j.respol.2019.103844</t>
  </si>
  <si>
    <t>https://doi.org/10.1016/j.respol.2019.103844</t>
  </si>
  <si>
    <t>backward search (citation tracing)</t>
  </si>
  <si>
    <t>Procurement</t>
  </si>
  <si>
    <t>VHB TIE 2024</t>
  </si>
  <si>
    <t>Research Policy anchor that conceptualizes procurement’s roles in innovation and industrial policy; improves theoretical balance of the procurement domain.</t>
  </si>
  <si>
    <t>A proposed universal definition of a Digital Product Passport Ecosystem (DPPE): Worldviews, discrete capabilities, stakeholder requirements and concerns</t>
  </si>
  <si>
    <t>King, MRN; Timms, PD; Mountney, S</t>
  </si>
  <si>
    <t>JOURNAL OF CLEANER PRODUCTION</t>
  </si>
  <si>
    <t>ELSEVIER SCI LTD</t>
  </si>
  <si>
    <t>10.1016/j.jclepro.2022.135538</t>
  </si>
  <si>
    <t>http://dx.doi.org/10.1016/j.jclepro.2022.135538</t>
  </si>
  <si>
    <t>Web of Science</t>
  </si>
  <si>
    <t>2026-02-24</t>
  </si>
  <si>
    <t>Article</t>
  </si>
  <si>
    <t>forward search</t>
  </si>
  <si>
    <t>interoperability; DPP/product data; sustainability/circular economy; governance/standards</t>
  </si>
  <si>
    <t>30</t>
  </si>
  <si>
    <t>Stimulating a more Circular Economy through Public Procurement: Roles and dynamics of intermediation</t>
  </si>
  <si>
    <t>Rainville, Anne</t>
  </si>
  <si>
    <t>104193</t>
  </si>
  <si>
    <t>10.1016/j.respol.2020.104193</t>
  </si>
  <si>
    <t>https://doi.org/10.1016/j.respol.2020.104193</t>
  </si>
  <si>
    <t>Research Policy paper directly linking procurement to circular-economy transition dynamics and intermediation.</t>
  </si>
  <si>
    <t>Designing a Multi-Sided Data Platform: Findings from the International Data Spaces Case</t>
  </si>
  <si>
    <t>Otto &amp; Jarke</t>
  </si>
  <si>
    <t>Electronic Markets</t>
  </si>
  <si>
    <t>10.1007/s12525-019-00362-x</t>
  </si>
  <si>
    <t>https://doi.org/10.1007/s12525-019-00362-x</t>
  </si>
  <si>
    <t>Very important bridge from DPP infrastructures to data-space and platform architecture.</t>
  </si>
  <si>
    <t>Impact pathways: digital product passport for embedding circularity in electronics supply chains</t>
  </si>
  <si>
    <t>Chaudhuri, A; Wæhrens, BV; Treiblmaier, H; Jensen, SF</t>
  </si>
  <si>
    <t>INTERNATIONAL JOURNAL OF OPERATIONS &amp; PRODUCTION MANAGEMENT</t>
  </si>
  <si>
    <t>EMERALD GROUP PUBLISHING LTD</t>
  </si>
  <si>
    <t>10.1108/IJOPM-01-2024-0012</t>
  </si>
  <si>
    <t>http://dx.doi.org/10.1108/IJOPM-01-2024-0012</t>
  </si>
  <si>
    <t>initial database search</t>
  </si>
  <si>
    <t>7</t>
  </si>
  <si>
    <t>Characteristics of Innovation and Innovation Adoption in Public Organizations: Assessing the Role of Managers</t>
  </si>
  <si>
    <t>Damanpour &amp; Schneider</t>
  </si>
  <si>
    <t>Journal of Public Administration Research and Theory</t>
  </si>
  <si>
    <t>10.1093/jopart/mun021</t>
  </si>
  <si>
    <t>https://doi.org/10.1093/jopart/mun021</t>
  </si>
  <si>
    <t>A-ranked bridge paper in JPART; not procurement-specific, but important for public-sector innovation and adoption capacity.</t>
  </si>
  <si>
    <t>Public procurement and innovation—Resurrecting the demand side</t>
  </si>
  <si>
    <t>Edler &amp; Georghiou</t>
  </si>
  <si>
    <t>10.1016/j.respol.2007.03.003</t>
  </si>
  <si>
    <t>https://doi.org/10.1016/j.respol.2007.03.003</t>
  </si>
  <si>
    <t>A-ranked bridge paper in Research Policy; strong conceptual framing of public procurement as demand-side innovation policy.</t>
  </si>
  <si>
    <t>Public Procurement for Innovation as mission-oriented innovation policy</t>
  </si>
  <si>
    <t>Edquist &amp; Zabala-Iturriagagoitia</t>
  </si>
  <si>
    <t>10.1016/j.respol.2012.04.022</t>
  </si>
  <si>
    <t>https://doi.org/10.1016/j.respol.2012.04.022</t>
  </si>
  <si>
    <t>A-ranked bridge paper in Research Policy; strongly relevant for procurement as transformative policy instrument.</t>
  </si>
  <si>
    <t>Assessment of Criteria Development for Public Procurement from a Strategic Sustainability Perspective</t>
  </si>
  <si>
    <t>Bratt et al.</t>
  </si>
  <si>
    <t>Journal of Cleaner Production</t>
  </si>
  <si>
    <t>10.1016/j.jclepro.2013.02.007</t>
  </si>
  <si>
    <t>https://doi.org/10.1016/j.jclepro.2013.02.007</t>
  </si>
  <si>
    <t>Early, important sustainability-oriented procurement criteria paper in a respected outlet.</t>
  </si>
  <si>
    <t>Digital Battery Passports to Enable Circular and Sustainable Value Chains: Conceptualization and Use Cases</t>
  </si>
  <si>
    <t>Berger, Schöggl &amp; Baumgartner</t>
  </si>
  <si>
    <t>10.1016/j.jclepro.2022.131492</t>
  </si>
  <si>
    <t>https://doi.org/10.1016/j.jclepro.2022.131492</t>
  </si>
  <si>
    <t>Highly relevant conceptual DPP paper with concrete information requirements.</t>
  </si>
  <si>
    <t>Digital Product Passports for a Circular Economy: Data Needs for Product Life Cycle Decision-Making</t>
  </si>
  <si>
    <t>Jensen et al.</t>
  </si>
  <si>
    <t>Sustainable Production and Consumption</t>
  </si>
  <si>
    <t>10.1016/j.spc.2023.02.021</t>
  </si>
  <si>
    <t>https://doi.org/10.1016/j.spc.2023.02.021</t>
  </si>
  <si>
    <t>VHB NAMA 2024</t>
  </si>
  <si>
    <t>Directly relevant for information requirements and lifecycle data needs.</t>
  </si>
  <si>
    <t>Green Public Procurement Implementation Challenges in Australian Public Healthcare Sector</t>
  </si>
  <si>
    <t>Ahsan &amp; Rahman</t>
  </si>
  <si>
    <t>10.1016/j.jclepro.2017.03.055</t>
  </si>
  <si>
    <t>https://doi.org/10.1016/j.jclepro.2017.03.055</t>
  </si>
  <si>
    <t>Strong implementation/challenges paper; useful for requirements and barriers.</t>
  </si>
  <si>
    <t>Data governance: Digital product passports as a case study</t>
  </si>
  <si>
    <t>Ducuing, C.; Reich, R.H.</t>
  </si>
  <si>
    <t>Competition and Regulation in Network Industries</t>
  </si>
  <si>
    <t>SAGE Publications Ltd</t>
  </si>
  <si>
    <t>10.1177/17835917231152799</t>
  </si>
  <si>
    <t>https://www.scopus.com/inward/record.uri?eid=2-s2.0-85146590025&amp;doi=10.1177%2F17835917231152799&amp;partnerID=40&amp;md5=0790182ccfbb218f7d091767b66f93ca</t>
  </si>
  <si>
    <t>Scopus</t>
  </si>
  <si>
    <t>DPP/product data; sustainability/circular economy; data ecosystems/data spaces; governance/standards</t>
  </si>
  <si>
    <t>255</t>
  </si>
  <si>
    <t>Public Procurement as a Policy Tool: Using Procurement to Reach Desired Outcomes in Society</t>
  </si>
  <si>
    <t>Grandia &amp; Meehan</t>
  </si>
  <si>
    <t>International Journal of Public Sector Management</t>
  </si>
  <si>
    <t>10.1108/IJPSM-03-2017-0066</t>
  </si>
  <si>
    <t>https://doi.org/10.1108/IJPSM-03-2017-0066</t>
  </si>
  <si>
    <t>Best concise framing of procurement as a policy instrument; highly relevant to public value logic.</t>
  </si>
  <si>
    <t>Getting the Green Light on Green Public Procurement: Macro and Meso Determinants</t>
  </si>
  <si>
    <t>Rosell</t>
  </si>
  <si>
    <t>10.1016/j.jclepro.2020.123710</t>
  </si>
  <si>
    <t>https://doi.org/10.1016/j.jclepro.2020.123710</t>
  </si>
  <si>
    <t>Useful for macro/meso governance conditions shaping adoption of GPP.</t>
  </si>
  <si>
    <t>Using National Environmental Objectives in Green Public Procurement: Method Development and Application on Transport Procurement in Sweden</t>
  </si>
  <si>
    <t>Lindfors</t>
  </si>
  <si>
    <t>10.1016/j.jclepro.2020.124821</t>
  </si>
  <si>
    <t>https://doi.org/10.1016/j.jclepro.2020.124821</t>
  </si>
  <si>
    <t>Good operational bridge from sustainability goals to procurement criteria.</t>
  </si>
  <si>
    <t>From Databases to Dataspaces: A New Abstraction for Information Management</t>
  </si>
  <si>
    <t>Franklin, Halevy &amp; Maier</t>
  </si>
  <si>
    <t>ACM SIGMOD Record</t>
  </si>
  <si>
    <t>10.1145/1107499.1107502</t>
  </si>
  <si>
    <t>https://doi.org/10.1145/1107499.1107502</t>
  </si>
  <si>
    <t>Foundational dataspace concept underpinning distributed information management.</t>
  </si>
  <si>
    <t>A modular ontology modeling approach to developing digital product passports to promote circular economy in the built environment</t>
  </si>
  <si>
    <t>Kebede, R; Moscati, A; Tan, H; Johansson, P</t>
  </si>
  <si>
    <t>SUSTAINABLE PRODUCTION AND CONSUMPTION</t>
  </si>
  <si>
    <t>ELSEVIER</t>
  </si>
  <si>
    <t>10.1016/j.spc.2024.05.007</t>
  </si>
  <si>
    <t>http://dx.doi.org/10.1016/j.spc.2024.05.007</t>
  </si>
  <si>
    <t>48</t>
  </si>
  <si>
    <t>Exploring the Intersection of Enterprise Architecture, Consumer Experience and Sustainable Development Goals: Contributions, Challenges and Application</t>
  </si>
  <si>
    <t>Dias I.C.P.; Canciglieri Junior O.; Escalona M.J.; Rodríguez I.B.</t>
  </si>
  <si>
    <t>IFIP Advances in Information and Communication Technology</t>
  </si>
  <si>
    <t>10.1007/978-3-032-09704-0_8</t>
  </si>
  <si>
    <t>https://www.scopus.com/inward/record.uri?eid=2-s2.0-105023314799&amp;doi=10.1007%2F978-3-032-09704-0_8&amp;partnerID=40&amp;md5=1b86cf05ecbeec64226f610d12043153</t>
  </si>
  <si>
    <t>Supplemental record</t>
  </si>
  <si>
    <t>EA + sustainability</t>
  </si>
  <si>
    <t>Sustainable development within enterprise architecture</t>
  </si>
  <si>
    <t>Alves D.F.R.; de Campos R.; Souza F.B.</t>
  </si>
  <si>
    <t>10.1007/978-3-319-51133-7_66</t>
  </si>
  <si>
    <t>https://www.scopus.com/inward/record.uri?eid=2-s2.0-85016059159&amp;doi=10.1007%2F978-3-319-51133-7_66&amp;partnerID=40&amp;md5=d73d0e68a79404d8017013444c1d3a00</t>
  </si>
  <si>
    <t>Sharing data to implement the circular economy: the case of digital product passports</t>
  </si>
  <si>
    <t>Kemmner, FA; Legenvre, H; Hameri, AP</t>
  </si>
  <si>
    <t>INDUSTRIAL MANAGEMENT &amp; DATA SYSTEMS</t>
  </si>
  <si>
    <t>10.1108/IMDS-04-2024-0403</t>
  </si>
  <si>
    <t>http://dx.doi.org/10.1108/IMDS-04-2024-0403</t>
  </si>
  <si>
    <t>C</t>
  </si>
  <si>
    <t>interoperability; DPP/product data; sustainability/circular economy; data ecosystems/data spaces; governance/standards</t>
  </si>
  <si>
    <t>38</t>
  </si>
  <si>
    <t>Enhancing trust in global supply chains: Conceptualizing Digital Product Passports for a low-carbon hydrogen market</t>
  </si>
  <si>
    <t>Heess, P; Rockstuhl, J; Körner, MF; Strüker, J</t>
  </si>
  <si>
    <t>ELECTRONIC MARKETS</t>
  </si>
  <si>
    <t>SPRINGER HEIDELBERG</t>
  </si>
  <si>
    <t>10.1007/s12525-024-00690-7</t>
  </si>
  <si>
    <t>http://dx.doi.org/10.1007/s12525-024-00690-7</t>
  </si>
  <si>
    <t>interoperability; DPP/product data; sustainability/circular economy; DSR-support</t>
  </si>
  <si>
    <t>34</t>
  </si>
  <si>
    <t>A Design Study for Interoperable Digital Product Passports: Embedding UNTP Semantics in AAS Submodels</t>
  </si>
  <si>
    <t>Havur, G.; Pellegrini, T.; Schenner, G.; Fusco, F.</t>
  </si>
  <si>
    <t>CEUR Workshop Proceedings</t>
  </si>
  <si>
    <t>CEUR-WS</t>
  </si>
  <si>
    <t>https://www.scopus.com/inward/record.uri?eid=2-s2.0-105019643613&amp;partnerID=40&amp;md5=8a67652d49044ec211f02842e071d326</t>
  </si>
  <si>
    <t>Conference paper</t>
  </si>
  <si>
    <t>Indispensable policy/proceedings anchor</t>
  </si>
  <si>
    <t>Tier 2 but indispensable policy/proceedings anchor</t>
  </si>
  <si>
    <t>196</t>
  </si>
  <si>
    <t>A Design Study on Embedding UNTP Semantics into AAS Submodels for Interoperable Digital Product Passports</t>
  </si>
  <si>
    <t>G. Havur; T. Pellegrini; G. Schenner; F. Fusco</t>
  </si>
  <si>
    <t>2025 21st International Conference on Network and Service Management (CNSM)</t>
  </si>
  <si>
    <t>IEEE</t>
  </si>
  <si>
    <t>10.23919/CNSM67658.2025.11297414</t>
  </si>
  <si>
    <t>https://ieeexplore.ieee.org/stamp/stamp.jsp?arnumber=11297414</t>
  </si>
  <si>
    <t>IEEE Xplore</t>
  </si>
  <si>
    <t>382</t>
  </si>
  <si>
    <t>A Multi-Stakeholder Digital Product Passport Based on the Asset Administration Shell</t>
  </si>
  <si>
    <t>Pourjafarian, M.; Plociennik, C.; Rimaz, M.H.; Stein, P.; Vogelgesang, M.; Li, C.; Knetsch, S.; Bergweiler, S.; Ruskowski, M.</t>
  </si>
  <si>
    <t>IEEE International Conference on Emerging Technologies and Factory Automation, ETFA</t>
  </si>
  <si>
    <t>Institute of Electrical and Electronics Engineers Inc.</t>
  </si>
  <si>
    <t>10.1109/ETFA54631.2023.10275715</t>
  </si>
  <si>
    <t>https://www.scopus.com/inward/record.uri?eid=2-s2.0-85175454163&amp;doi=10.1109%2FETFA54631.2023.10275715&amp;partnerID=40&amp;md5=d02da59c975221a1c41bd85537df94fd</t>
  </si>
  <si>
    <t>259</t>
  </si>
  <si>
    <t>A Reference Architecture for Digital Product Passports at Batch Level to Support Manufacturing Supply Chains</t>
  </si>
  <si>
    <t>Wiesner, M; Moreira, J; Guizzardi, R; Scholz, P</t>
  </si>
  <si>
    <t>RESEARCH CHALLENGES IN INFORMATION SCIENCE, PT I, RCIS 2024</t>
  </si>
  <si>
    <t>SPRINGER INTERNATIONAL PUBLISHING AG</t>
  </si>
  <si>
    <t>10.1007/978-3-031-59465-6_19</t>
  </si>
  <si>
    <t>http://dx.doi.org/10.1007/978-3-031-59465-6_19</t>
  </si>
  <si>
    <t>Proceedings Paper</t>
  </si>
  <si>
    <t>25</t>
  </si>
  <si>
    <t>A Review on Digital Product Passports as Drivers of Digital Transformation in Industry</t>
  </si>
  <si>
    <t>Tzionis, G.; Kougka, G.; Gialampoukidis, I.; Vrochidis, S.; Kompatsiaris, I.; Vlachopoulou, M.; Afolaranmi, S.O.; Martínez Lastra, J.L.</t>
  </si>
  <si>
    <t>Proceedings of the 31st ICE IEEE/ITMC Conference on Engineering, Technology, and Innovation: AI-Driven Industrial Transformation: Digital Leadership in Technology, Engineering, Innovation and Entrepreneurship, ICE 2025</t>
  </si>
  <si>
    <t>10.1109/ICE/ITMC65658.2025.11106630</t>
  </si>
  <si>
    <t>https://www.scopus.com/inward/record.uri?eid=2-s2.0-105015493352&amp;doi=10.1109%2FICE%2FITMC65658.2025.11106630&amp;partnerID=40&amp;md5=c5ccff6013aa7cd47a9683c3a4ec6001</t>
  </si>
  <si>
    <t>interoperability; DPP/product data; sustainability/circular economy; data ecosystems/data spaces; governance/standards; DSR-support</t>
  </si>
  <si>
    <t>199</t>
  </si>
  <si>
    <t>An ODP-based Ontology for the Digital Product Passport</t>
  </si>
  <si>
    <t>Pourjafarian, M.; Plociennik, C.; Bergweiler, S.; Moarefvand, N.; Brozeit, J.; Rezapour, M.; Ruskowski, M.</t>
  </si>
  <si>
    <t>Procedia CIRP</t>
  </si>
  <si>
    <t>Elsevier B.V.</t>
  </si>
  <si>
    <t>10.1016/j.procir.2024.12.125</t>
  </si>
  <si>
    <t>https://www.scopus.com/inward/record.uri?eid=2-s2.0-105011590103&amp;doi=10.1016%2Fj.procir.2024.12.125&amp;partnerID=40&amp;md5=0472abd4148f6a6d6b17a7ce76fb1cc6</t>
  </si>
  <si>
    <t>210</t>
  </si>
  <si>
    <t>Applying the Digital Product Passport for Enhanced Lifecycle Management of Electrical and Electronic Equipment: A Case Study of a Washing Machine</t>
  </si>
  <si>
    <t>Pietroni, G.; Gianvincenzi, M.; Marconi, M.; Favi, C.</t>
  </si>
  <si>
    <t>Lecture Notes in Mechanical Engineering</t>
  </si>
  <si>
    <t>Springer Science and Business Media Deutschland GmbH</t>
  </si>
  <si>
    <t>10.1007/978-3-032-14953-4_17</t>
  </si>
  <si>
    <t>https://www.scopus.com/inward/record.uri?eid=2-s2.0-105030239829&amp;doi=10.1007%2F978-3-032-14953-4_17&amp;partnerID=40&amp;md5=eebdd31dbc3ab40c7a63dcf423103d93</t>
  </si>
  <si>
    <t>150</t>
  </si>
  <si>
    <t>Building Digital Product Passports: EPCIS 2.0 Meets Knowledge Graphs</t>
  </si>
  <si>
    <t>Tolcha, YK; Park, G; Kim, D</t>
  </si>
  <si>
    <t>2025 IEEE INTERNATIONAL CONFERENCE ON RFID, RFID</t>
  </si>
  <si>
    <t>10.1109/RFID64926.2025.11015538</t>
  </si>
  <si>
    <t>http://dx.doi.org/10.1109/RFID64926.2025.11015538</t>
  </si>
  <si>
    <t>22</t>
  </si>
  <si>
    <t>Complexity in the delivery of product passports: A system of systems approach to passport lifecycles</t>
  </si>
  <si>
    <t>Timms, P.D.; King, M.R.N.</t>
  </si>
  <si>
    <t>2023 18th Annual System of Systems Engineering Conference, SoSe 2023</t>
  </si>
  <si>
    <t>10.1109/SoSE59841.2023.10178575</t>
  </si>
  <si>
    <t>https://www.scopus.com/inward/record.uri?eid=2-s2.0-85166735449&amp;doi=10.1109%2FSoSE59841.2023.10178575&amp;partnerID=40&amp;md5=6fd91564224f001c25e21608088eda03</t>
  </si>
  <si>
    <t>261</t>
  </si>
  <si>
    <t>Connecting Producers and Recyclers: A Digital Product Passport Concept and Implementation Suitable for End-of-Life Management</t>
  </si>
  <si>
    <t>Plociennik, C; Nazeri, A; Rimaz, MH; Knetsch, S; Lopes, ADP; Hagedorn, T; Baehr, J; Vogelgesang, M; Li, CC; Benner, W; Kellerer, B; Ionescu, E; Ruskowski, M; Weidenkaff, A</t>
  </si>
  <si>
    <t>31ST CIRP CONFERENCE ON LIFE CYCLE ENGINEERING, LCE 2024</t>
  </si>
  <si>
    <t>ELSEVIER SCIENCE BV</t>
  </si>
  <si>
    <t>10.1016/j.procir.2024.02.026</t>
  </si>
  <si>
    <t>http://dx.doi.org/10.1016/j.procir.2024.02.026</t>
  </si>
  <si>
    <t>19</t>
  </si>
  <si>
    <t>Creating a Digital Product Passport Using Data Spaces and Ontologies: A Case Study at a Furniture Dealer</t>
  </si>
  <si>
    <t>Gallina, V; Lanbach, E; Ahmeti, A; Ritter, S; Revenko, A; Belova, A; Steinwender, A; Bachlechner, D</t>
  </si>
  <si>
    <t>IFAC PAPERSONLINE</t>
  </si>
  <si>
    <t>10.1016/j.ifacol.2025.09.110</t>
  </si>
  <si>
    <t>http://dx.doi.org/10.1016/j.ifacol.2025.09.110</t>
  </si>
  <si>
    <t>interoperability; DPP/product data; sustainability/circular economy; data ecosystems/data spaces</t>
  </si>
  <si>
    <t>31</t>
  </si>
  <si>
    <t>Design of a Sensor-Based Digital Product Passport for Low-Tech Manufacturing: Traceability and Environmental Monitoring in Bio-Block Production</t>
  </si>
  <si>
    <t>Pracucci, A; Giovanardi, M</t>
  </si>
  <si>
    <t>SENSORS</t>
  </si>
  <si>
    <t>10.3390/s25185653</t>
  </si>
  <si>
    <t>http://dx.doi.org/10.3390/s25185653</t>
  </si>
  <si>
    <t>18</t>
  </si>
  <si>
    <t>Elements of Sustainability for Public Sector Software – Mosaic Enterprise Architecture, Macroservices, and Low-Code</t>
  </si>
  <si>
    <t>Setälä M.; Abrahamsson P.; Mikkonen T.</t>
  </si>
  <si>
    <t>Lecture Notes in Business Information Processing</t>
  </si>
  <si>
    <t>10.1007/978-3-030-91983-2_1</t>
  </si>
  <si>
    <t>https://www.scopus.com/inward/record.uri?eid=2-s2.0-85121846464&amp;doi=10.1007%2F978-3-030-91983-2_1&amp;partnerID=40&amp;md5=8e243fe75aeaeb3eb1d329eaf5772953</t>
  </si>
  <si>
    <t>Optional support</t>
  </si>
  <si>
    <t>Exploring the Design Space and Research Directions for Digital Product Passport Systems</t>
  </si>
  <si>
    <t>S. Kaser; C. Lesjak; R. Matischek; C. Steger</t>
  </si>
  <si>
    <t>10.23919/CNSM67658.2025.11297523</t>
  </si>
  <si>
    <t>https://ieeexplore.ieee.org/stamp/stamp.jsp?arnumber=11297523</t>
  </si>
  <si>
    <t>interoperability; DPP/product data; sustainability/circular economy</t>
  </si>
  <si>
    <t>362</t>
  </si>
  <si>
    <t>From Static Records to Smart Passports: Evolving Digital Product Passports Toward Product-Service System Integration</t>
  </si>
  <si>
    <t>Maló, P.; Almeida, B.; Mateus, M.; Querido, F.; Inacio, D.; Teixeira, T.; Di Orio, G.; Marques, F.</t>
  </si>
  <si>
    <t>Proceedings - 2025 21st International Conference on Distributed Computing in Smart Systems and the Internet of Things, DCOSS-IoT 2025</t>
  </si>
  <si>
    <t>10.1109/DCOSS-IoT65416.2025.00163</t>
  </si>
  <si>
    <t>https://www.scopus.com/inward/record.uri?eid=2-s2.0-105013843068&amp;doi=10.1109%2FDCOSS-IoT65416.2025.00163&amp;partnerID=40&amp;md5=2ade87b315377726eb8b99cc4d32f514</t>
  </si>
  <si>
    <t>203</t>
  </si>
  <si>
    <t>Gap Analysis on Interoperability of Blockchain Enabled Traceability Tools for Digital Product Passports</t>
  </si>
  <si>
    <t>Datta, S.K.</t>
  </si>
  <si>
    <t>2024 International Conference on Intelligent Cybernetics Technology and Applications, ICICyTA 2024</t>
  </si>
  <si>
    <t>10.1109/ICICYTA64807.2024.10913245</t>
  </si>
  <si>
    <t>https://www.scopus.com/inward/record.uri?eid=2-s2.0-105001659732&amp;doi=10.1109%2FICICYTA64807.2024.10913245&amp;partnerID=40&amp;md5=82ecf744adf1c4125df8b0440047ea50</t>
  </si>
  <si>
    <t>254</t>
  </si>
  <si>
    <t>Integrating Digital Product Passports and BIM for Circular Construction: A Review of Challenges and Opportunities for Data-Driven Material Reuse and Sustainability Assessment</t>
  </si>
  <si>
    <t>Hamidkhaniha, S.; Martínez, A.G.; Sedaghat, M.</t>
  </si>
  <si>
    <t>IOP Conference Series: Earth and Environmental Science</t>
  </si>
  <si>
    <t>Institute of Physics</t>
  </si>
  <si>
    <t>10.1088/1755-1315/1568/1/012026</t>
  </si>
  <si>
    <t>https://www.scopus.com/inward/record.uri?eid=2-s2.0-105027166096&amp;doi=10.1088%2F1755-1315%2F1568%2F1%2F012026&amp;partnerID=40&amp;md5=ebc2b453b8537bc52df9ef1d14fb87d0</t>
  </si>
  <si>
    <t>188</t>
  </si>
  <si>
    <t>Interoperable Digital Product Passports: An Event-Based Approach to Aggregate Production Data to Improve Sustainability and Transparency in the Manufacturing Industry</t>
  </si>
  <si>
    <t>Ajdinović, S.; Strljic, M.; Lechler, A.; Riedel, O.</t>
  </si>
  <si>
    <t>2024 IEEE/SICE International Symposium on System Integration, SII 2024</t>
  </si>
  <si>
    <t>10.1109/SII58957.2024.10417487</t>
  </si>
  <si>
    <t>https://www.scopus.com/inward/record.uri?eid=2-s2.0-85186271507&amp;doi=10.1109%2FSII58957.2024.10417487&amp;partnerID=40&amp;md5=f5ffb1b81f2d1c0794d5ed6ab8655086</t>
  </si>
  <si>
    <t>251</t>
  </si>
  <si>
    <t>Leveraging Digital Product Passports to Overcome Circular Economy Challenges: Comparative Insights from the Textile and Semiconductor Industries</t>
  </si>
  <si>
    <t>Krüger, K.; Bottcher, T.; Jonas, M.E.; Krcmar, H.</t>
  </si>
  <si>
    <t>IEEE Conference on Technologies for Sustainability, SusTech</t>
  </si>
  <si>
    <t>10.1109/SusTech63138.2025.11025717</t>
  </si>
  <si>
    <t>https://www.scopus.com/inward/record.uri?eid=2-s2.0-105013071555&amp;doi=10.1109%2FSusTech63138.2025.11025717&amp;partnerID=40&amp;md5=70807c08abab882d1173eda36123ee80</t>
  </si>
  <si>
    <t>205</t>
  </si>
  <si>
    <t>Linking digital product passports and digital building logbooks: Socio-Technical challenges and a pathways for integration</t>
  </si>
  <si>
    <t>Çetin, S.; Mêda, P.; Farghaly, K.; Hwang, S.-A.</t>
  </si>
  <si>
    <t>Developments in the Built Environment</t>
  </si>
  <si>
    <t>Elsevier Ltd</t>
  </si>
  <si>
    <t>10.1016/j.dibe.2026.100877</t>
  </si>
  <si>
    <t>https://www.scopus.com/inward/record.uri?eid=2-s2.0-105030141575&amp;doi=10.1016%2Fj.dibe.2026.100877&amp;partnerID=40&amp;md5=19053a14f83a64013b7f1916bceee877</t>
  </si>
  <si>
    <t>147</t>
  </si>
  <si>
    <t>On Enterprise Architecture Patterns: A Tool for Sustainable Transformation</t>
  </si>
  <si>
    <t>García-Escallón R.; Aldea A.; van Sinderen M.</t>
  </si>
  <si>
    <t>10.1007/978-3-030-75418-1_39</t>
  </si>
  <si>
    <t>https://www.scopus.com/inward/record.uri?eid=2-s2.0-85106411049&amp;doi=10.1007%2F978-3-030-75418-1_39&amp;partnerID=40&amp;md5=ba2d432928baa2a3aef0fcad910c9fb4</t>
  </si>
  <si>
    <t>RePlanIT Ontology for Digital Product Passports of ICT: Laptops and Data Servers</t>
  </si>
  <si>
    <t>Kurteva, A; van der Valk, C; Mcmahon, K; Bozzon, A; Balkenende, R</t>
  </si>
  <si>
    <t>SEMANTIC WEB</t>
  </si>
  <si>
    <t>SAGE PUBLICATIONS INC</t>
  </si>
  <si>
    <t>10.1177/22104968251361274</t>
  </si>
  <si>
    <t>http://dx.doi.org/10.1177/22104968251361274</t>
  </si>
  <si>
    <t>50</t>
  </si>
  <si>
    <t>Shared Digital Product Passport for holistic lifecycle assessment CO 2 Calculation with the Product AAS</t>
  </si>
  <si>
    <t>Reif, M; Rimaz, MH; Plociennik, C; Ruskowski, M; David, A</t>
  </si>
  <si>
    <t>ATP MAGAZINE</t>
  </si>
  <si>
    <t>DIV DEUTSCHER INDUSTRIEVERLAG GMBH</t>
  </si>
  <si>
    <t>11</t>
  </si>
  <si>
    <t>The Potential of Material and Product Passports for the Circular Management of Heritage Buildings</t>
  </si>
  <si>
    <t>Violano, A.; Aenoai, R.G.; Cervantes Puma, G.C.; Bragança, L.</t>
  </si>
  <si>
    <t>Applied Sciences (Switzerland)</t>
  </si>
  <si>
    <t>Multidisciplinary Digital Publishing Institute (MDPI)</t>
  </si>
  <si>
    <t>10.3390/app16020865</t>
  </si>
  <si>
    <t>https://www.scopus.com/inward/record.uri?eid=2-s2.0-105028778275&amp;doi=10.3390%2Fapp16020865&amp;partnerID=40&amp;md5=ee2f5eb27f7ce6525046c3c4527a7847</t>
  </si>
  <si>
    <t>153</t>
  </si>
  <si>
    <t>Towards a Stateless Cloud Native and Cloud Agnostic Digital Twin Platform for the Digital Product Passport: Out-of-the-box, Reliable, and Scaling</t>
  </si>
  <si>
    <t>Redeker, M; Simikin, S; Marek, F</t>
  </si>
  <si>
    <t>2024 IEEE 29TH INTERNATIONAL CONFERENCE ON EMERGING TECHNOLOGIES AND FACTORY AUTOMATION, ETFA 2024</t>
  </si>
  <si>
    <t>10.1109/ETFA61755.2024.10710875</t>
  </si>
  <si>
    <t>http://dx.doi.org/10.1109/ETFA61755.2024.10710875</t>
  </si>
  <si>
    <t>23</t>
  </si>
  <si>
    <t>Towards Model-based Definition of Digital Product Passports Supporting Sustainable Smart Product Lifecycles</t>
  </si>
  <si>
    <t>Juresa, Y; Mollahassani, D; Göbel, JC</t>
  </si>
  <si>
    <t>TEHNICKI GLASNIK-TECHNICAL JOURNAL</t>
  </si>
  <si>
    <t>UNIV NORTH</t>
  </si>
  <si>
    <t>10.31803/tg-20250331102143</t>
  </si>
  <si>
    <t>http://dx.doi.org/10.31803/tg-20250331102143</t>
  </si>
  <si>
    <t>16</t>
  </si>
  <si>
    <t>Transforming Lifecycle Management: A Systematic Review of Blockchain-Driven Digital Product Passports in Circular Economy Frameworks</t>
  </si>
  <si>
    <t>Miron, R.; Hulea, M.; Mureşan, V.</t>
  </si>
  <si>
    <t>10.1007/978-3-031-94223-5_27</t>
  </si>
  <si>
    <t>https://www.scopus.com/inward/record.uri?eid=2-s2.0-105009322804&amp;doi=10.1007%2F978-3-031-94223-5_27&amp;partnerID=40&amp;md5=2f8bf90bd4dfab09a6ce61a565d15fd1</t>
  </si>
  <si>
    <t>216</t>
  </si>
  <si>
    <t>Using Machine Learning for Data Quality Assessment for the Textile and Clothing Digital Product Passport</t>
  </si>
  <si>
    <t>Cruz, EF; Rodrigues, R; Serra, S; Silva, P; da Cruz, AMR</t>
  </si>
  <si>
    <t>10.1016/j.ifacol.2025.09.163</t>
  </si>
  <si>
    <t>http://dx.doi.org/10.1016/j.ifacol.2025.09.163</t>
  </si>
  <si>
    <t>6</t>
  </si>
  <si>
    <t>Definition of Standardized Digital Product Passport: A Use Case to Make Solar Panels More Sustainable</t>
  </si>
  <si>
    <t>Morella, P; Aznar-Lapuente, G; Gutierrez, I; Lambán, MP; Royo, JA; Suso, CR; Esteban, M</t>
  </si>
  <si>
    <t>ENTERPRISE INTEROPERABILITY XI</t>
  </si>
  <si>
    <t>10.1007/978-3-031-93995-2_14</t>
  </si>
  <si>
    <t>http://dx.doi.org/10.1007/978-3-031-93995-2_14</t>
  </si>
  <si>
    <t>15</t>
  </si>
  <si>
    <t>Integrating Digital Product Passports in E-Commerce: An Architectural Framework for Sustainability and AI-Driven Value</t>
  </si>
  <si>
    <t>Tamm, M.; Draheim, D.; Tammet, T.; Pappel, I.</t>
  </si>
  <si>
    <t>Lecture Notes in Computer Science</t>
  </si>
  <si>
    <t>10.1007/978-3-032-11976-6_23</t>
  </si>
  <si>
    <t>https://www.scopus.com/inward/record.uri?eid=2-s2.0-105024563437&amp;doi=10.1007%2F978-3-032-11976-6_23&amp;partnerID=40&amp;md5=3d120b49feee8595473991b251d5ea66</t>
  </si>
  <si>
    <t>155</t>
  </si>
  <si>
    <t>The Digital Product Passport: Enabling Interoperable Information Flows Through Blockchain Consortia for Sustainability</t>
  </si>
  <si>
    <t>Greiner, M; Seidenfad, K; Langewisch, C; Hofmann, A; Lechner, U</t>
  </si>
  <si>
    <t>INNOVATIONS FOR COMMUNITY SERVICES, I4CS 2024</t>
  </si>
  <si>
    <t>10.1007/978-3-031-60433-1_21</t>
  </si>
  <si>
    <t>http://dx.doi.org/10.1007/978-3-031-60433-1_21</t>
  </si>
  <si>
    <t>interoperability; DPP/product data; sustainability/circular economy; governance/standards; DSR-support</t>
  </si>
  <si>
    <t>4</t>
  </si>
  <si>
    <t>Government green procurement and corporate ESG performance</t>
  </si>
  <si>
    <t>Wang, SJ; Wang, Z; Li, B</t>
  </si>
  <si>
    <t>10.1016/j.jclepro.2024.143945</t>
  </si>
  <si>
    <t>http://dx.doi.org/10.1016/j.jclepro.2024.143945</t>
  </si>
  <si>
    <t>procurement/public administration; sustainability/circular economy; governance/standards</t>
  </si>
  <si>
    <t>126</t>
  </si>
  <si>
    <t>10.1016/j.procs.2026.02.153</t>
  </si>
  <si>
    <t>https://doi.org/10.1016/j.procs.2026.02.153</t>
  </si>
  <si>
    <t>Digital Product Passports: A Framework for Developing Adaptable and Compliant Data Models</t>
  </si>
  <si>
    <t>Gianvincenzi, M; Marconi, M; Mosconi, EM; Pennino, D; Tola, F</t>
  </si>
  <si>
    <t>DESIGN TOOLS AND METHODS IN INDUSTRIAL ENGINEERING IV, ADM 2024, VOL 1</t>
  </si>
  <si>
    <t>10.1007/978-3-031-76597-1_20</t>
  </si>
  <si>
    <t>http://dx.doi.org/10.1007/978-3-031-76597-1_20</t>
  </si>
  <si>
    <t>40</t>
  </si>
  <si>
    <t>Can Digital Product Passports become the next-generation eco-label? Analyzing consumer preferences for labeling using Digital Product Passports</t>
  </si>
  <si>
    <t>Hyunkyung Joo and Sungmin Ko and Byoungchan Chun and Yoonmo Koo</t>
  </si>
  <si>
    <t>10.1016/j.jclepro.2025.147403</t>
  </si>
  <si>
    <t>https://doi.org/10.1016/j.jclepro.2025.147403</t>
  </si>
  <si>
    <t>ScienceDirect</t>
  </si>
  <si>
    <t>DPP/product data; sustainability/circular economy; governance/standards</t>
  </si>
  <si>
    <t>440</t>
  </si>
  <si>
    <t>Digital product passports for cleaner production: Economic evidence from producers and consumers in the fashion industry</t>
  </si>
  <si>
    <t>Beatrice Becchi and Alessandro Cascavilla and Idiano D'Adamo and Chiara Grosso</t>
  </si>
  <si>
    <t>10.1016/j.jclepro.2026.147792</t>
  </si>
  <si>
    <t>https://doi.org/10.1016/j.jclepro.2026.147792</t>
  </si>
  <si>
    <t>445</t>
  </si>
  <si>
    <t>A Circular Construction Product Ontology for End-of-Life Decision-Making</t>
  </si>
  <si>
    <t>Adu-Duodu, K.; Wilson, S.; Li, Y.; Oladimeji, A.; Huraysi, T.; Barati, M.; Perera, C.; Solaiman, E.; Rana, O.; Ranjan, R.; Shah, T.</t>
  </si>
  <si>
    <t>Proceedings of the ACM Symposium on Applied Computing</t>
  </si>
  <si>
    <t>Association for Computing Machinery</t>
  </si>
  <si>
    <t>10.1145/3672608.3707870</t>
  </si>
  <si>
    <t>https://www.scopus.com/inward/record.uri?eid=2-s2.0-105006441260&amp;doi=10.1145%2F3672608.3707870&amp;partnerID=40&amp;md5=d96bf60f2cc7f756d152be18ea140c3f</t>
  </si>
  <si>
    <t>179</t>
  </si>
  <si>
    <t>A Sovereign and Interoperable Data Ecosystem for an Eco-Efficient Nonwovens Industry</t>
  </si>
  <si>
    <t>Pohlmeyer, F; Möbitz, C; Gries, T</t>
  </si>
  <si>
    <t>SUSTAINABILITY</t>
  </si>
  <si>
    <t>10.3390/su162310735</t>
  </si>
  <si>
    <t>http://dx.doi.org/10.3390/su162310735</t>
  </si>
  <si>
    <t>29</t>
  </si>
  <si>
    <t>Accelerating Transparency and Efficiency in the Public Procurement Sector for a Smarter Society: eNotification and ESPD Integration for Developing E-procurement</t>
  </si>
  <si>
    <t>Bertocchi, E.; Caroli, M.; Casalino, N.; Falà, S.; Giovannetti, M.; Infante, K.; Orsi, A.; Mariotti, E.; Massimi, F.; Manzo, V.; Pizzolo, G.; Sellitto, G.P.</t>
  </si>
  <si>
    <t>Smart Innovation, Systems and Technologies</t>
  </si>
  <si>
    <t>10.1007/978-981-19-3112-3_25</t>
  </si>
  <si>
    <t>https://www.scopus.com/inward/record.uri?eid=2-s2.0-85132034469&amp;doi=10.1007%2F978-981-19-3112-3_25&amp;partnerID=40&amp;md5=878cbed096ecd55440aff5be7a7d09be</t>
  </si>
  <si>
    <t>interoperability; procurement/public administration; sustainability/circular economy; governance/standards</t>
  </si>
  <si>
    <t>326</t>
  </si>
  <si>
    <t>Advancing energy renovations through digitalisation: A critical review of EU policies and instruments</t>
  </si>
  <si>
    <t>Hwang, S.-A.; Çetin, S.; Visscher, H.; Straub, A.</t>
  </si>
  <si>
    <t>Energy and Buildings</t>
  </si>
  <si>
    <t>10.1016/j.enbuild.2025.115627</t>
  </si>
  <si>
    <t>https://www.scopus.com/inward/record.uri?eid=2-s2.0-105000806448&amp;doi=10.1016%2Fj.enbuild.2025.115627&amp;partnerID=40&amp;md5=e4059da92278c78bf9bd0258abd99d91</t>
  </si>
  <si>
    <t>178</t>
  </si>
  <si>
    <t>Analysis of Second-Life Electric Vehicle Batteries Value Maximizing through Repurposing and Resale, Ways to Achieve Optimal Performance and Standardization Challenges for Testing and Certification</t>
  </si>
  <si>
    <t>Agarwal, P.; Penta, A.</t>
  </si>
  <si>
    <t>SAE Technical Papers</t>
  </si>
  <si>
    <t>SAE International</t>
  </si>
  <si>
    <t>10.4271/2026-26-0193</t>
  </si>
  <si>
    <t>https://www.scopus.com/inward/record.uri?eid=2-s2.0-105028602939&amp;doi=10.4271%2F2026-26-0193&amp;partnerID=40&amp;md5=c7024912690e2fd2fac462ac80c47fa6</t>
  </si>
  <si>
    <t>149</t>
  </si>
  <si>
    <t>Application of machine learning methods for risk analysis of unfavorable outcome of government procurement procedure in building and grounds maintenance domain</t>
  </si>
  <si>
    <t>Domashova, J.; Kripak, E.</t>
  </si>
  <si>
    <t>Procedia Computer Science</t>
  </si>
  <si>
    <t>10.1016/j.procs.2021.06.022</t>
  </si>
  <si>
    <t>https://www.scopus.com/inward/record.uri?eid=2-s2.0-85112662021&amp;doi=10.1016%2Fj.procs.2021.06.022&amp;partnerID=40&amp;md5=5ca72c6d56e15edaf018da46e464140e</t>
  </si>
  <si>
    <t>procurement/public administration; sustainability/circular economy</t>
  </si>
  <si>
    <t>330</t>
  </si>
  <si>
    <t>Assessing the degree of sustainability integration in Canadian public sector procurement</t>
  </si>
  <si>
    <t>da Ponte, M.; Foley, M.; Cho, C.H.</t>
  </si>
  <si>
    <t>Sustainability (Switzerland)</t>
  </si>
  <si>
    <t>10.3390/su12145550</t>
  </si>
  <si>
    <t>https://www.scopus.com/inward/record.uri?eid=2-s2.0-85088658831&amp;doi=10.3390%2Fsu12145550&amp;partnerID=40&amp;md5=3a3dee4a835a7894751ec2ce67bf20aa</t>
  </si>
  <si>
    <t>sustainability/circular economy; DSR-support</t>
  </si>
  <si>
    <t>335</t>
  </si>
  <si>
    <t>BPO-A battery production ontology for traceable, transparent, and sustainable electric vehicle batteries</t>
  </si>
  <si>
    <t>Soufi, C; Ayadi, A; Mesbahi, T; Samet, A; Lallement, C</t>
  </si>
  <si>
    <t>JOURNAL OF WEB SEMANTICS</t>
  </si>
  <si>
    <t>10.1016/j.websem.2026.100877</t>
  </si>
  <si>
    <t>http://dx.doi.org/10.1016/j.websem.2026.100877</t>
  </si>
  <si>
    <t>56</t>
  </si>
  <si>
    <t>Challenges and lessons learned for industry transfer of DPP solutions</t>
  </si>
  <si>
    <t>Manoury, M; Wiesner, M; Riedelsheimer, T; Honsberg, F; Lindow, K</t>
  </si>
  <si>
    <t>2025 IEEE 8TH INTERNATIONAL CONFERENCE ON INDUSTRIAL CYBER-PHYSICAL SYSTEMS, ICPS</t>
  </si>
  <si>
    <t>10.1109/ICPS65515.2025.11087919</t>
  </si>
  <si>
    <t>http://dx.doi.org/10.1109/ICPS65515.2025.11087919</t>
  </si>
  <si>
    <t>35</t>
  </si>
  <si>
    <t>Challenges in implementing building information modelling for facility management in government buildings in Thailand</t>
  </si>
  <si>
    <t>Boontae, N; Ussavadilokrit, M</t>
  </si>
  <si>
    <t>PROPERTY MANAGEMENT</t>
  </si>
  <si>
    <t>10.1108/PM-02-2023-0017</t>
  </si>
  <si>
    <t>http://dx.doi.org/10.1108/PM-02-2023-0017</t>
  </si>
  <si>
    <t>104</t>
  </si>
  <si>
    <t>Circular Data Flowchart for Sustainable Ecodesign</t>
  </si>
  <si>
    <t>Bernardo, G.; Dall’Arche, D.; Manicone, A.</t>
  </si>
  <si>
    <t>Lecture Notes in Civil Engineering</t>
  </si>
  <si>
    <t>10.1007/978-3-032-06993-1_7</t>
  </si>
  <si>
    <t>https://www.scopus.com/inward/record.uri?eid=2-s2.0-105020789962&amp;doi=10.1007%2F978-3-032-06993-1_7&amp;partnerID=40&amp;md5=2abbd21a71a9c851ab9f947d659505e2</t>
  </si>
  <si>
    <t>195</t>
  </si>
  <si>
    <t>Cloud-Based Battery Management System for Energy Storage Applications: Enabling Second-Life Batteries for Smart Mobility and Smart Homes</t>
  </si>
  <si>
    <t>Konstantinidis, G.; Kouveliotis-Lysikatos, I.; Tsougiannis, V.; Antonakopoulou, A.; Sourlas, V.; Stauffer, Y.; Chuecos, M.P.; Spanoudaki, D.; Frangoudis, R.; Thumfart, L.; Aizpurua, I.; Koller, M.; Amditis, A.</t>
  </si>
  <si>
    <t>EEITE 2025 - 6th International Conference in Electronic Engineering and Information Technology</t>
  </si>
  <si>
    <t>10.1109/EEITE65381.2025.11165814</t>
  </si>
  <si>
    <t>https://www.scopus.com/inward/record.uri?eid=2-s2.0-105018188261&amp;doi=10.1109%2FEEITE65381.2025.11165814&amp;partnerID=40&amp;md5=e07eeaafe19ed940f7d1039bbd965eda</t>
  </si>
  <si>
    <t>197</t>
  </si>
  <si>
    <t>Decentralized phygital identifier systems for digital passports in circular construction: a design science evaluation</t>
  </si>
  <si>
    <t>Byers, B.S.; Emmenegger, P.; Hunhevicz, J.J.; Schumm, D.; Heisel, F.; Hall, D.M.; De Wolf, C.</t>
  </si>
  <si>
    <t>Construction Innovation</t>
  </si>
  <si>
    <t>Emerald Publishing</t>
  </si>
  <si>
    <t>10.1108/CI-02-2025-0074</t>
  </si>
  <si>
    <t>https://www.scopus.com/inward/record.uri?eid=2-s2.0-105025432384&amp;doi=10.1108%2FCI-02-2025-0074&amp;partnerID=40&amp;md5=bc0d9e428f396e0cf048868b5b5f1130</t>
  </si>
  <si>
    <t>190</t>
  </si>
  <si>
    <t>Digital Product Passport in support of Data-Driven End-of-Use Strategies-a systems design perspective</t>
  </si>
  <si>
    <t>Christensen, A; Stingl, V; Omair, M; Wæhrens, BV</t>
  </si>
  <si>
    <t>CLEANER ENVIRONMENTAL SYSTEMS</t>
  </si>
  <si>
    <t>10.1016/j.cesys.2025.100354</t>
  </si>
  <si>
    <t>http://dx.doi.org/10.1016/j.cesys.2025.100354</t>
  </si>
  <si>
    <t>12</t>
  </si>
  <si>
    <t>Enhancing Industrial decarbonization through Standardized Data interoperability and PPO-Based DRL multi-energy Scheduling</t>
  </si>
  <si>
    <t>Kim, S.H.</t>
  </si>
  <si>
    <t>IEEE Access</t>
  </si>
  <si>
    <t>10.1109/ACCESS.2026.3660727</t>
  </si>
  <si>
    <t>https://www.scopus.com/inward/record.uri?eid=2-s2.0-105029666123&amp;doi=10.1109%2FACCESS.2026.3660727&amp;partnerID=40&amp;md5=522698dd44a1ef5b17eb95259281be60</t>
  </si>
  <si>
    <t>152</t>
  </si>
  <si>
    <t>Evaluating the Effectiveness of Public Procurement Performance Management Systems in Local Governments</t>
  </si>
  <si>
    <t>Patrucco, AS; Luzzini, D; Ronchi, S</t>
  </si>
  <si>
    <t>LOCAL GOVERNMENT STUDIES</t>
  </si>
  <si>
    <t>ROUTLEDGE JOURNALS, TAYLOR &amp; FRANCIS LTD</t>
  </si>
  <si>
    <t>10.1080/03003930.2016.1181059</t>
  </si>
  <si>
    <t>http://dx.doi.org/10.1080/03003930.2016.1181059</t>
  </si>
  <si>
    <t>80</t>
  </si>
  <si>
    <t>Factors that affect implementation of green public procurement in local government: A case study in the city of Johannesburg Municipality</t>
  </si>
  <si>
    <t>Mutenda, E.; Kholopane, P.</t>
  </si>
  <si>
    <t>Proceedings of the International Conference on Industrial Engineering and Operations Management</t>
  </si>
  <si>
    <t>IEOM Society ieom-society@iieom.org</t>
  </si>
  <si>
    <t>https://www.scopus.com/inward/record.uri?eid=2-s2.0-85066961880&amp;partnerID=40&amp;md5=2b1b332edc4cd938417c4e3f2a24a92e</t>
  </si>
  <si>
    <t>349</t>
  </si>
  <si>
    <t>Greening the procurement: a SMART evaluation of environmental sustainability in Australian government purchasing policies</t>
  </si>
  <si>
    <t>Shahin, A; Polonsky, M; Wood, LC; Presbitero, A; Wijayasundara, M</t>
  </si>
  <si>
    <t>ASIA PACIFIC JOURNAL OF MARKETING AND LOGISTICS</t>
  </si>
  <si>
    <t>10.1108/APJML-03-2024-0350</t>
  </si>
  <si>
    <t>http://dx.doi.org/10.1108/APJML-03-2024-0350</t>
  </si>
  <si>
    <t>procurement/public administration; sustainability/circular economy; governance/standards; DSR-support</t>
  </si>
  <si>
    <t>101</t>
  </si>
  <si>
    <t>Impacts of policy-driven public procurement: a methodological review</t>
  </si>
  <si>
    <t>Kundu, O.; Uyarra, E.; Ortega-Argilés, R.; Tirado, M.M.; Kitsos, T.; YuYuan, P.</t>
  </si>
  <si>
    <t>Science and Public Policy</t>
  </si>
  <si>
    <t>Oxford University Press</t>
  </si>
  <si>
    <t>10.1093/scipol/scae058</t>
  </si>
  <si>
    <t>https://www.scopus.com/inward/record.uri?eid=2-s2.0-85217974791&amp;doi=10.1093%2Fscipol%2Fscae058&amp;partnerID=40&amp;md5=09d6a5bb623d4e72695cc8fef291293a</t>
  </si>
  <si>
    <t>284</t>
  </si>
  <si>
    <t>Improving Circularity in Brewing through Data Spaces: A Case Study in Carbon Footprint Allocation</t>
  </si>
  <si>
    <t>J. Buescher; V. Pohl; D. Ditterich; F. Hoffmann; R. Wöstmann; C. Müller; D. Wagstyl; L. Fochler; J. Deuse</t>
  </si>
  <si>
    <t>2025 IEEE International Conference on Industrial Engineering and Engineering Management (IEEM)</t>
  </si>
  <si>
    <t>10.1109/IEEM63636.2025.11357614</t>
  </si>
  <si>
    <t>https://ieeexplore.ieee.org/stamp/stamp.jsp?arnumber=11357614</t>
  </si>
  <si>
    <t>401</t>
  </si>
  <si>
    <t>Integrating Big Data Analytics with the Aura Blockchain for Supply Chain Insights</t>
  </si>
  <si>
    <t>H. Hanjalic; S. Jukic</t>
  </si>
  <si>
    <t>2025 33rd Telecommunications Forum (TELFOR)</t>
  </si>
  <si>
    <t>10.1109/TELFOR67910.2025.11314367</t>
  </si>
  <si>
    <t>https://ieeexplore.ieee.org/stamp/stamp.jsp?arnumber=11314367</t>
  </si>
  <si>
    <t>372</t>
  </si>
  <si>
    <t>Integrating Maqasid al-Shariah in the e-Procurement System: A Governance Framework for Shariah Compliance in Malaysia’s Public Sector</t>
  </si>
  <si>
    <t>Mat, A.S.C.; Halim, M.N.A.</t>
  </si>
  <si>
    <t>Architecture Image Studies</t>
  </si>
  <si>
    <t>AP2</t>
  </si>
  <si>
    <t>10.62754/ais.v6i3.226</t>
  </si>
  <si>
    <t>https://www.scopus.com/inward/record.uri?eid=2-s2.0-105020914363&amp;doi=10.62754%2Fais.v6i3.226&amp;partnerID=40&amp;md5=aff6a95f839e4edb5100027fad025425</t>
  </si>
  <si>
    <t>271</t>
  </si>
  <si>
    <t>Introducing the Manufacturing Digital Passport (MDP): A New Concept for Realising Digital Thread Data Sharing in Aerospace and Complex Manufacturing</t>
  </si>
  <si>
    <t>Mabkhot, MM; Kalawsky, RS; Liaqat, A</t>
  </si>
  <si>
    <t>SYSTEMS</t>
  </si>
  <si>
    <t>10.3390/systems13080700</t>
  </si>
  <si>
    <t>http://dx.doi.org/10.3390/systems13080700</t>
  </si>
  <si>
    <t>interoperability; DPP/product data; sustainability/circular economy; data ecosystems/data spaces; DSR-support</t>
  </si>
  <si>
    <t>47</t>
  </si>
  <si>
    <t>Method for the development and application of digital twins in manufacturing</t>
  </si>
  <si>
    <t>Fuhrländer-Völker, D.; Lindner, M.; von Elling, M.; Frieß, T.; Karnapp, S.; Weigold, M.</t>
  </si>
  <si>
    <t>Production Engineering</t>
  </si>
  <si>
    <t>10.1007/s11740-025-01346-x</t>
  </si>
  <si>
    <t>https://www.scopus.com/inward/record.uri?eid=2-s2.0-105006548670&amp;doi=10.1007%2Fs11740-025-01346-x&amp;partnerID=40&amp;md5=0bd4dafd64e5fc2a265c2be1908ab8b0</t>
  </si>
  <si>
    <t>164</t>
  </si>
  <si>
    <t>Modelling circular-driven Digital Twins</t>
  </si>
  <si>
    <t>Ventura, A.; Sousa, C.; Pereira, C.; Duarte, N.; Martins, M.; Silva, B.</t>
  </si>
  <si>
    <t>10.1016/j.procs.2025.02.159</t>
  </si>
  <si>
    <t>https://www.scopus.com/inward/record.uri?eid=2-s2.0-105001923135&amp;doi=10.1016%2Fj.procs.2025.02.159&amp;partnerID=40&amp;md5=3c043bb30516119f55db5464c42abd60</t>
  </si>
  <si>
    <t>221</t>
  </si>
  <si>
    <t>Navigating Sustainable Practices in Public Sector Organizations: Current Themes and Emerging Trends</t>
  </si>
  <si>
    <t>Naveed, S.; Siddique, N.; Ul-Durar, S.; de Sisto, M.</t>
  </si>
  <si>
    <t>Public Administration Quarterly</t>
  </si>
  <si>
    <t>10.1177/07349149241296011</t>
  </si>
  <si>
    <t>https://www.scopus.com/inward/record.uri?eid=2-s2.0-105013132615&amp;doi=10.1177%2F07349149241296011&amp;partnerID=40&amp;md5=91497b97a235c724bf6a65cc77f140a9</t>
  </si>
  <si>
    <t>273</t>
  </si>
  <si>
    <t>Open Data Standards for Public Procurement and Contracting: A Collaborative Construction; Padrão de Dados Abertos em Compras e Contratações Públicas: Uma Construção Colaborativa</t>
  </si>
  <si>
    <t>Junior, J.F.S.; de Araujo, V.M.; Schommer, P.C.; Raupp, F.M.</t>
  </si>
  <si>
    <t>Revista de Administracao Contemporanea</t>
  </si>
  <si>
    <t>ANPAD - Associacao Nacional de Pos-Graduacao e Pesquisa em Administracao</t>
  </si>
  <si>
    <t>10.1590/1982-7849rac2024230175.por</t>
  </si>
  <si>
    <t>https://www.scopus.com/inward/record.uri?eid=2-s2.0-85193210265&amp;doi=10.1590%2F1982-7849rac2024230175.por&amp;partnerID=40&amp;md5=6906794dedfc409e1b334465f723cb2a</t>
  </si>
  <si>
    <t>304</t>
  </si>
  <si>
    <t>Public strategies for improving eHealth integration and long-term sustainability in public health care systems: Findings from an Italian case study</t>
  </si>
  <si>
    <t>De Rosis, S; Nuti, S</t>
  </si>
  <si>
    <t>INTERNATIONAL JOURNAL OF HEALTH PLANNING AND MANAGEMENT</t>
  </si>
  <si>
    <t>WILEY</t>
  </si>
  <si>
    <t>E131</t>
  </si>
  <si>
    <t>E152</t>
  </si>
  <si>
    <t>10.1002/hpm.2443</t>
  </si>
  <si>
    <t>http://dx.doi.org/10.1002/hpm.2443</t>
  </si>
  <si>
    <t>interoperability; procurement/public administration; sustainability/circular economy; governance/standards; DSR-support</t>
  </si>
  <si>
    <t>129</t>
  </si>
  <si>
    <t>Reframing the Triple Helix for Sustainability: A Mechanism-Based Framework for University-Industry-Government Collaboration in Global Innovation Systems</t>
  </si>
  <si>
    <t>Xin, PZ; Arshad, NI; Mohamad, UH; Huang, YJ; Su, SJ</t>
  </si>
  <si>
    <t>EUROPEAN JOURNAL OF EDUCATION</t>
  </si>
  <si>
    <t>10.1111/ejed.70361</t>
  </si>
  <si>
    <t>http://dx.doi.org/10.1111/ejed.70361</t>
  </si>
  <si>
    <t>111</t>
  </si>
  <si>
    <t>Semantic Asset Administration Shell for Circular Economy</t>
  </si>
  <si>
    <t>Rimaz, M.H.; Plociennik, C.; Ruskowski, M.</t>
  </si>
  <si>
    <t>https://www.scopus.com/inward/record.uri?eid=2-s2.0-85204291727&amp;partnerID=40&amp;md5=0b019b9dfc30dc607c1c89c797212e70</t>
  </si>
  <si>
    <t>241</t>
  </si>
  <si>
    <t>Sustainability policy objectives, centralized decision making, and efficiency in public procurement processes in U.S. local governments</t>
  </si>
  <si>
    <t>Stritch, J.M.; Bretschneider, S.; Darnall, N.; Hsueh, L.; Chen, Y.</t>
  </si>
  <si>
    <t>10.3390/SU12176934</t>
  </si>
  <si>
    <t>https://www.scopus.com/inward/record.uri?eid=2-s2.0-85091349938&amp;doi=10.3390%2FSU12176934&amp;partnerID=40&amp;md5=854a503d94b14c72672ffb457f0a5624</t>
  </si>
  <si>
    <t>334</t>
  </si>
  <si>
    <t>The architecture of procurement in sustainable and zero-emission neighborhood projects-strategic challenges and new realities</t>
  </si>
  <si>
    <t>Hamdan, HAM; de Boer, L; Andersen, PH</t>
  </si>
  <si>
    <t>ENVIRONMENT SYSTEMS &amp; DECISIONS</t>
  </si>
  <si>
    <t>SPRINGERNATURE</t>
  </si>
  <si>
    <t>10.1007/s10669-023-09908-z</t>
  </si>
  <si>
    <t>http://dx.doi.org/10.1007/s10669-023-09908-z</t>
  </si>
  <si>
    <t>95</t>
  </si>
  <si>
    <t>The e-government adoption ecosystem from the perspective of stakeholder theory: A case study on the village information systems in Indonesia</t>
  </si>
  <si>
    <t>Sihotang, D.M.; Hidayanto, A.N.; Kurnia, S.</t>
  </si>
  <si>
    <t>Information Development</t>
  </si>
  <si>
    <t>10.1177/02666669231192879</t>
  </si>
  <si>
    <t>https://www.scopus.com/inward/record.uri?eid=2-s2.0-85169678878&amp;doi=10.1177%2F02666669231192879&amp;partnerID=40&amp;md5=b236325dfbb6cbfde9eaec446298c733</t>
  </si>
  <si>
    <t>270</t>
  </si>
  <si>
    <t>The holistic role of multi-level government in transformative innovation process: Theoretical framework and evidence from China</t>
  </si>
  <si>
    <t>Chen, KH; Xue, ZH; Guo, R; Ning, LT</t>
  </si>
  <si>
    <t>TECHNOVATION</t>
  </si>
  <si>
    <t>10.1016/j.technovation.2024.103122</t>
  </si>
  <si>
    <t>http://dx.doi.org/10.1016/j.technovation.2024.103122</t>
  </si>
  <si>
    <t>133</t>
  </si>
  <si>
    <t>Towards a Service Marketplace to Empower Circular Economy Transition: An Example Application in the Supply Chain of Textile Industry</t>
  </si>
  <si>
    <t>Franke, M; Deng, Q; Hribernik, KA; Thoben, KD; Ciaccio, G</t>
  </si>
  <si>
    <t>ADVANCES IN PRODUCTION MANAGEMENT SYSTEMS-PRODUCTION MANAGEMENT SYSTEMS FOR VOLATILE, UNCERTAIN, COMPLEX, AND AMBIGUOUS ENVIRONMENTS, APMS 2024, PT I</t>
  </si>
  <si>
    <t>10.1007/978-3-031-71622-5_16</t>
  </si>
  <si>
    <t>http://dx.doi.org/10.1007/978-3-031-71622-5_16</t>
  </si>
  <si>
    <t>37</t>
  </si>
  <si>
    <t>Towards Connecting General DPP Ontology Frameworks with Domain-specific Information Sources</t>
  </si>
  <si>
    <t>Deich, J.; Loeb, L.; Meins-Becker, A.; Meisen, T.; Pomp, A.</t>
  </si>
  <si>
    <t>https://www.scopus.com/inward/record.uri?eid=2-s2.0-105012096706&amp;partnerID=40&amp;md5=1da5784d3255583a71e29cc16308bb97</t>
  </si>
  <si>
    <t>209</t>
  </si>
  <si>
    <t>Towards Sustainable Software for Public Sector Information Systems</t>
  </si>
  <si>
    <t>Ghezzi, R; Koski, A; Lautanala, J; Lehtisalo, M; Setälä, M; Mikkonen, T</t>
  </si>
  <si>
    <t>2023 IEEE/ACM INTERNATIONAL CONFERENCE ON SOFTWARE AND SYSTEM PROCESSES, ICSSP</t>
  </si>
  <si>
    <t>IEEE COMPUTER SOC</t>
  </si>
  <si>
    <t>10.1109/ICSSP59042.2023.00019</t>
  </si>
  <si>
    <t>http://dx.doi.org/10.1109/ICSSP59042.2023.00019</t>
  </si>
  <si>
    <t>103</t>
  </si>
  <si>
    <t>Understanding public procurement within the health sector: A priority in a post-COVID-19 world</t>
  </si>
  <si>
    <t>García-Altés, A.; McKee, M.; Siciliani, L.; Barros, P.P.; Lehtonen, L.; Rogers, H.; Kringos, D.; Zaletel, J.; de Maeseneer, J.</t>
  </si>
  <si>
    <t>Health Economics, Policy and Law</t>
  </si>
  <si>
    <t>Cambridge University Press</t>
  </si>
  <si>
    <t>10.1017/S1744133122000184</t>
  </si>
  <si>
    <t>https://www.scopus.com/inward/record.uri?eid=2-s2.0-85150000728&amp;doi=10.1017%2FS1744133122000184&amp;partnerID=40&amp;md5=4faf983289d4a020ad17e31ba118d85e</t>
  </si>
  <si>
    <t>314</t>
  </si>
  <si>
    <t>Using composable NFTs and blockchain for the creation of EV battery digital passports with sustainability and traceability features</t>
  </si>
  <si>
    <t>Hasan, HR; Salah, K; Mayyas, A; Musamih, A; Yaqoob, I; Omar, M; Jayaraman, R</t>
  </si>
  <si>
    <t>SUSTAINABLE FUTURES</t>
  </si>
  <si>
    <t>10.1016/j.sftr.2025.100847</t>
  </si>
  <si>
    <t>http://dx.doi.org/10.1016/j.sftr.2025.100847</t>
  </si>
  <si>
    <t>57</t>
  </si>
  <si>
    <t>A Blockchain-Based Digital Product Passport System Providing a Federated Learning Environment for Collaboration Between Recycling Centers and Manufacturers to Enable Recycling Automation</t>
  </si>
  <si>
    <t>Kim, MJ; Han, CH; Park, KJ; Moon, JS; Um, J</t>
  </si>
  <si>
    <t>10.3390/su17062679</t>
  </si>
  <si>
    <t>http://dx.doi.org/10.3390/su17062679</t>
  </si>
  <si>
    <t>DPP/product data; sustainability/circular economy; data ecosystems/data spaces</t>
  </si>
  <si>
    <t>1</t>
  </si>
  <si>
    <t>A Digital Twin-Based Digital Product Passport</t>
  </si>
  <si>
    <t>Monteiro, J.; Barata, J.; Gentilini, S.</t>
  </si>
  <si>
    <t>10.1016/j.procs.2024.09.251</t>
  </si>
  <si>
    <t>https://www.scopus.com/inward/record.uri?eid=2-s2.0-85213392297&amp;doi=10.1016%2Fj.procs.2024.09.251&amp;partnerID=40&amp;md5=694755e3a401fed58b43914deff73dfa</t>
  </si>
  <si>
    <t>DPP/product data; sustainability/circular economy; DSR-support</t>
  </si>
  <si>
    <t>234</t>
  </si>
  <si>
    <t>A Framework for Sustainable Textile Waste Management using Digital Product Passports and Artificial Intelligence</t>
  </si>
  <si>
    <t>Telfort, T.E.; Fatahi Valilai, O.F.</t>
  </si>
  <si>
    <t>10.1016/j.procir.2025.02.224</t>
  </si>
  <si>
    <t>https://www.scopus.com/inward/record.uri?eid=2-s2.0-105009410285&amp;doi=10.1016%2Fj.procir.2025.02.224&amp;partnerID=40&amp;md5=a35351aa6702a8374ec0427513d5245f</t>
  </si>
  <si>
    <t>DPP/product data; sustainability/circular economy</t>
  </si>
  <si>
    <t>215</t>
  </si>
  <si>
    <t>Advanced MRO Processes in Industry 4.0 with proactive Asset Administration Shell and Digital Product Passport</t>
  </si>
  <si>
    <t>Weiss, M; Kamtsiuris, A; Raddatz, F; Wende, G</t>
  </si>
  <si>
    <t>INTERNATIONAL JOURNAL OF PROGNOSTICS AND HEALTH MANAGEMENT</t>
  </si>
  <si>
    <t>PHM SOCIETY</t>
  </si>
  <si>
    <t>10.36001/IJPHM.2025.v16i2.4508</t>
  </si>
  <si>
    <t>http://dx.doi.org/10.36001/IJPHM.2025.v16i2.4508</t>
  </si>
  <si>
    <t>42</t>
  </si>
  <si>
    <t>Agricultural Product Traceability Using Blockchain-Based Digital Product Passports</t>
  </si>
  <si>
    <t>C. N. Kasimatis; D. Apostolou; A. Efthimiadou; G. Mentzas</t>
  </si>
  <si>
    <t>2024 15th International Conference on Information, Intelligence, Systems &amp; Applications (IISA)</t>
  </si>
  <si>
    <t>10.1109/IISA62523.2024.10786712</t>
  </si>
  <si>
    <t>https://ieeexplore.ieee.org/stamp/stamp.jsp?arnumber=10786712</t>
  </si>
  <si>
    <t>383</t>
  </si>
  <si>
    <t>An Integrated Business Strategy for the Twin Transition: Leveraging Digital Product Passports and Circular Economy Models</t>
  </si>
  <si>
    <t>D’Adamo, I.; Fratocchi, L.; Grosso, C.; Tavana, M.</t>
  </si>
  <si>
    <t>Business Strategy and the Environment</t>
  </si>
  <si>
    <t>John Wiley and Sons Ltd</t>
  </si>
  <si>
    <t>10.1002/bse.70065</t>
  </si>
  <si>
    <t>https://www.scopus.com/inward/record.uri?eid=2-s2.0-105009625589&amp;doi=10.1002%2Fbse.70065&amp;partnerID=40&amp;md5=5192663838ce616f26708a8920ae6f25</t>
  </si>
  <si>
    <t>163</t>
  </si>
  <si>
    <t>Beyond compliance: Designing value-creating, service-oriented, and integrated product passports that contribute to the circular economy</t>
  </si>
  <si>
    <t>Reich, R.H.; Alaerts, L.; van Acker, K.V.</t>
  </si>
  <si>
    <t>10.1016/j.procir.2024.12.120</t>
  </si>
  <si>
    <t>https://www.scopus.com/inward/record.uri?eid=2-s2.0-105011583284&amp;doi=10.1016%2Fj.procir.2024.12.120&amp;partnerID=40&amp;md5=487f5a9cfd747b3aabee77fdcf2e358f</t>
  </si>
  <si>
    <t>DPP/product data; sustainability/circular economy; governance/standards; DSR-support</t>
  </si>
  <si>
    <t>212</t>
  </si>
  <si>
    <t>Bidirectional Integration of Digital Product Passports into Information Systems of Production Planning and Control</t>
  </si>
  <si>
    <t>Spiss, M; Berninger, S; Perau, M; Janssen, J; Boos, W; Schröer, T</t>
  </si>
  <si>
    <t>NAVIGATING UNPREDICTABILITY: COLLABORATIVE NETWORKS IN NON-LINEAR WORLDS, PRO-VE 2024, PT II</t>
  </si>
  <si>
    <t>10.1007/978-3-031-71743-7_12</t>
  </si>
  <si>
    <t>http://dx.doi.org/10.1007/978-3-031-71743-7_12</t>
  </si>
  <si>
    <t>36</t>
  </si>
  <si>
    <t>Blockchain-Based Digital Product Passport for the Circular Economy</t>
  </si>
  <si>
    <t>Kim, J; Lee, S; Kim, H</t>
  </si>
  <si>
    <t>2024 INTERNATIONAL CONFERENCE ON PLATFORM TECHNOLOGY AND SERVICE, PLATCON</t>
  </si>
  <si>
    <t>10.1109/PLATCON63925.2024.10830745</t>
  </si>
  <si>
    <t>http://dx.doi.org/10.1109/PLATCON63925.2024.10830745</t>
  </si>
  <si>
    <t>5</t>
  </si>
  <si>
    <t>Blockchain-Enabled Product Passport for Transparent Tea Supply Chain</t>
  </si>
  <si>
    <t>Y. S. I. De Silva; S. A. U. K. Suraweera; W. A. K. P. Piyasinghe; K. C. N. De Silva; G. T. Dassanayake; W. Tissera</t>
  </si>
  <si>
    <t>2025 7th International Conference on Advancements in Computing (ICAC)</t>
  </si>
  <si>
    <t>10.1109/ICAC69156.2025.11361455</t>
  </si>
  <si>
    <t>https://ieeexplore.ieee.org/stamp/stamp.jsp?arnumber=11361455</t>
  </si>
  <si>
    <t>Boosting Governance-Centric Digital Product Passports Through Traceability in Footwear Industry</t>
  </si>
  <si>
    <t>Moço, H.; Sousa, C.; Ferreira, R.; Pinto, P.; Pereira, C.; Diogo, R.</t>
  </si>
  <si>
    <t>Communications in Computer and Information Science</t>
  </si>
  <si>
    <t>10.1007/978-3-031-80775-6_14</t>
  </si>
  <si>
    <t>https://www.scopus.com/inward/record.uri?eid=2-s2.0-85219206931&amp;doi=10.1007%2F978-3-031-80775-6_14&amp;partnerID=40&amp;md5=20ce3be2c1bb15ab7ac636bacb8ad902</t>
  </si>
  <si>
    <t>184</t>
  </si>
  <si>
    <t>Bridging digital tools and human skills: A sustainable competence framework for implementing digital product passports in the cosmetics industry</t>
  </si>
  <si>
    <t>Alessandro Cascavilla and Idiano D'Adamo and Chiara Grosso and Cecilia Trusiani</t>
  </si>
  <si>
    <t>Journal of Environmental Management</t>
  </si>
  <si>
    <t>10.1016/j.jenvman.2025.128281</t>
  </si>
  <si>
    <t>https://doi.org/10.1016/j.jenvman.2025.128281</t>
  </si>
  <si>
    <t>436</t>
  </si>
  <si>
    <t>Bringing the Digital Product Passport to Life: Requirements Analysis for a Carbon Footprint Tracking System using Knowledge Graphs and Data Spaces</t>
  </si>
  <si>
    <t>Belova, Anastasiia and Revenko, Artem and Gallina, Viola and Bachlechner, Daniel and Sowe, Sulayman K.</t>
  </si>
  <si>
    <t>Proceedings of the 40th ACM/SIGAPP Symposium on Applied Computing</t>
  </si>
  <si>
    <t>https://doi.org/27</t>
  </si>
  <si>
    <t>ACM</t>
  </si>
  <si>
    <t>415</t>
  </si>
  <si>
    <t>CIRCULAR ECONOMY IN THE BUILT ENVIRONMENT: A FRAMEWORK FOR IMPLEMENTING DIGITAL PRODUCT PASSPORTS WITH KNOWLEDGE GRAPHS</t>
  </si>
  <si>
    <t>Kebede, R.; Moscati, A.; Tan, H.; Johansson, P.</t>
  </si>
  <si>
    <t>Proceedings of the European Conference on Computing in Construction</t>
  </si>
  <si>
    <t>European Council on Computing in Construction (EC3)</t>
  </si>
  <si>
    <t>10.35490/EC3.2023.245</t>
  </si>
  <si>
    <t>https://www.scopus.com/inward/record.uri?eid=2-s2.0-85177183715&amp;doi=10.35490%2FEC3.2023.245&amp;partnerID=40&amp;md5=cc4bd4d1bb0477a5ea288255d4d2fb73</t>
  </si>
  <si>
    <t>258</t>
  </si>
  <si>
    <t>Confidentiality-preserving data exchange to enable sustainable product management via digital product passports - a conceptualization.</t>
  </si>
  <si>
    <t>Katharina Berger and Magdalena Rusch and Antonia Pohlmann and Martin Popowicz and Bernhard C. Geiger and Heimo Gursch and Josef-Peter Schöggl and Rupert J. Baumgartner</t>
  </si>
  <si>
    <t>10.1016/j.procir.2023.02.060</t>
  </si>
  <si>
    <t>https://doi.org/10.1016/j.procir.2023.02.060</t>
  </si>
  <si>
    <t>451</t>
  </si>
  <si>
    <t>Data Model for Ecological Sustainability in Manufacturing: A Digital Product Passport Approach</t>
  </si>
  <si>
    <t>Ajdinović, S.; Maisch, N.; Gückel, A.; Lechler, A.; Riedel, O.</t>
  </si>
  <si>
    <t>10.1007/978-3-032-05610-8_20</t>
  </si>
  <si>
    <t>https://www.scopus.com/inward/record.uri?eid=2-s2.0-105020568338&amp;doi=10.1007%2F978-3-032-05610-8_20&amp;partnerID=40&amp;md5=3c187fe6d7a9817a8d12797b5949a063</t>
  </si>
  <si>
    <t>158</t>
  </si>
  <si>
    <t>Decentralized Digital Product Passport Building Blocks for Enhancing Supply Chain Sovereignty and Circular Economy Practices</t>
  </si>
  <si>
    <t>S. de Diego; I. Gutiérrez-Aguero</t>
  </si>
  <si>
    <t>10.1109/ACCESS.2025.3594826</t>
  </si>
  <si>
    <t>https://ieeexplore.ieee.org/stamp/stamp.jsp?arnumber=11106427</t>
  </si>
  <si>
    <t>364</t>
  </si>
  <si>
    <t>Demonstration of a Digital Product Passport System for Second-Hand Electronic Devices</t>
  </si>
  <si>
    <t>P. Vilchez; J. Cano; C. Puigdefabregas; F. Freitag; L. Navarro</t>
  </si>
  <si>
    <t>2025 7th Experiment@ International Conference (exp.at'25)</t>
  </si>
  <si>
    <t>10.1109/exp.at2565440.2025.11348357</t>
  </si>
  <si>
    <t>https://ieeexplore.ieee.org/stamp/stamp.jsp?arnumber=11348357</t>
  </si>
  <si>
    <t>363</t>
  </si>
  <si>
    <t>Digital Product Passport (DPP) technological advancement and adoption framework: A systematic literature review</t>
  </si>
  <si>
    <t>Wicaksono, H.; Mengistu, A.; Bashyal, A.; Fekete, T.</t>
  </si>
  <si>
    <t>10.1016/j.procs.2025.02.022</t>
  </si>
  <si>
    <t>https://www.scopus.com/inward/record.uri?eid=2-s2.0-105000550189&amp;doi=10.1016%2Fj.procs.2025.02.022&amp;partnerID=40&amp;md5=7c968835a3ccf54392330952bd75a9b3</t>
  </si>
  <si>
    <t>222</t>
  </si>
  <si>
    <t>Digital Product Passport Architecture for Boosting Circularity in Footwear Industry</t>
  </si>
  <si>
    <t>Cristóvão Sousa and Ricardo Ferreira and Pedro Pinto and Carla Pereira and Rui Rebelo</t>
  </si>
  <si>
    <t>10.1016/j.procs.2024.06.331</t>
  </si>
  <si>
    <t>https://doi.org/10.1016/j.procs.2024.06.331</t>
  </si>
  <si>
    <t>447</t>
  </si>
  <si>
    <t>Digital product passport enabled production control in the context of circular economy</t>
  </si>
  <si>
    <t>Hermann, Y.; Patlakis, C.; Hörger, M.; May, M.C.; Lanza, G.</t>
  </si>
  <si>
    <t>10.1016/j.procir.2025.01.037</t>
  </si>
  <si>
    <t>https://www.scopus.com/inward/record.uri?eid=2-s2.0-105000011967&amp;doi=10.1016%2Fj.procir.2025.01.037&amp;partnerID=40&amp;md5=18c1a25c1c53bcca5d01587cc2c5efa2</t>
  </si>
  <si>
    <t>223</t>
  </si>
  <si>
    <t>Digital Product Passport enabled Quality Assessment in Dynamic Circular Supply Chain Networks</t>
  </si>
  <si>
    <t>Plociennik, C.; Kunz, L.; Ruskowski, M.</t>
  </si>
  <si>
    <t>10.1016/j.procir.2024.12.065</t>
  </si>
  <si>
    <t>https://www.scopus.com/inward/record.uri?eid=2-s2.0-105011586412&amp;doi=10.1016%2Fj.procir.2024.12.065&amp;partnerID=40&amp;md5=2957c4d0f4094285b45821763e9e96d9</t>
  </si>
  <si>
    <t>211</t>
  </si>
  <si>
    <t>Digital Product Passport for T&amp;D enabling IoT Integration and LCA</t>
  </si>
  <si>
    <t>Diirr, T.; Kaltenborn, U.; Staiger, D.</t>
  </si>
  <si>
    <t>IET Conference Proceedings</t>
  </si>
  <si>
    <t>Institution of Engineering and Technology</t>
  </si>
  <si>
    <t>10.1049/icp.2025.2278</t>
  </si>
  <si>
    <t>https://www.scopus.com/inward/record.uri?eid=2-s2.0-105027449278&amp;doi=10.1049%2Ficp.2025.2278&amp;partnerID=40&amp;md5=64efbd9b1ca2b76bb12848ef4b9cc010</t>
  </si>
  <si>
    <t>187</t>
  </si>
  <si>
    <t>DIGITAL PRODUCT PASSPORTS IN CONSTRUCTION – BARRIERS AND OPPORTUNITIES AT PEOPLE, PROCESS AND TECHNOLOGY DIMENSIONS</t>
  </si>
  <si>
    <t>Mêda, P.; Hjelseth, E.; Calvetti, D.; Sousa, H.</t>
  </si>
  <si>
    <t>10.35490/EC3.2024.233</t>
  </si>
  <si>
    <t>https://www.scopus.com/inward/record.uri?eid=2-s2.0-85203426268&amp;doi=10.35490%2FEC3.2024.233&amp;partnerID=40&amp;md5=83b266dbcb7ca93e9757b94acc91417c</t>
  </si>
  <si>
    <t>242</t>
  </si>
  <si>
    <t>Digital product passports in the circular economy: a reflexive law approach to policy-actor governance tensions</t>
  </si>
  <si>
    <t>Yuan, L.</t>
  </si>
  <si>
    <t>Law, Innovation and Technology</t>
  </si>
  <si>
    <t>Taylor and Francis Ltd.</t>
  </si>
  <si>
    <t>10.1080/17579961.2025.2593771</t>
  </si>
  <si>
    <t>https://www.scopus.com/inward/record.uri?eid=2-s2.0-105023676683&amp;doi=10.1080%2F17579961.2025.2593771&amp;partnerID=40&amp;md5=4f57014db1058251a51ca8fec2995bf6</t>
  </si>
  <si>
    <t>192</t>
  </si>
  <si>
    <t>Digital Product Passports: Use Cases Framework and Technical Architecture Using DLT and Smart Contracts</t>
  </si>
  <si>
    <t>S. Nowacki; G. M. Sisik; C. M. Angelopoulos</t>
  </si>
  <si>
    <t>2023 19th International Conference on Distributed Computing in Smart Systems and the Internet of Things (DCOSS-IoT)</t>
  </si>
  <si>
    <t>10.1109/DCOSS-IoT58021.2023.00067</t>
  </si>
  <si>
    <t>https://ieeexplore.ieee.org/stamp/stamp.jsp?arnumber=10257215</t>
  </si>
  <si>
    <t>391</t>
  </si>
  <si>
    <t>DPPviewer: A Visual Analytics Approach for Optimizing Production Chains on Digital Product Passports</t>
  </si>
  <si>
    <t>D. Burkhardt; M. Bock; A. Kuijper</t>
  </si>
  <si>
    <t>2025 29th International Conference Information Visualisation (IV)</t>
  </si>
  <si>
    <t>10.1109/IV68685.2025.00061</t>
  </si>
  <si>
    <t>https://ieeexplore.ieee.org/stamp/stamp.jsp?arnumber=11216830</t>
  </si>
  <si>
    <t>409</t>
  </si>
  <si>
    <t>Enhancing Supply Chain Transparency through Blockchain Product Passports</t>
  </si>
  <si>
    <t>A. Canciani; C. Felicioli; F. Severino; D. Tortola</t>
  </si>
  <si>
    <t>2024 IEEE International Conference on Pervasive Computing and Communications Workshops and other Affiliated Events (PerCom Workshops)</t>
  </si>
  <si>
    <t>10.1109/PerComWorkshops59983.2024.10502429</t>
  </si>
  <si>
    <t>https://ieeexplore.ieee.org/stamp/stamp.jsp?arnumber=10502429</t>
  </si>
  <si>
    <t>377</t>
  </si>
  <si>
    <t>Environmental Concerns in the Fashion Industry: A Twin Transition With the Digital Product Passport</t>
  </si>
  <si>
    <t>Colasante, A; D'Adamo, I; Desideri, S; Iannilli, M; Mangani, V</t>
  </si>
  <si>
    <t>BUSINESS STRATEGY AND THE ENVIRONMENT</t>
  </si>
  <si>
    <t>10.1002/bse.70078</t>
  </si>
  <si>
    <t>http://dx.doi.org/10.1002/bse.70078</t>
  </si>
  <si>
    <t>21</t>
  </si>
  <si>
    <t>From Analogue to Digital Product Passports in the Furniture Industry</t>
  </si>
  <si>
    <t>Steinwender, A.; Gallina, V.; Litvyak, O.; Lampoltshammer, T.J.; Bachlechner, D.; Schlund, S.</t>
  </si>
  <si>
    <t>IFAC-PapersOnLine</t>
  </si>
  <si>
    <t>10.1016/j.ifacol.2024.09.175</t>
  </si>
  <si>
    <t>https://www.scopus.com/inward/record.uri?eid=2-s2.0-85208035930&amp;doi=10.1016%2Fj.ifacol.2024.09.175&amp;partnerID=40&amp;md5=39854fd633e668bdc0b27fc544028eb0</t>
  </si>
  <si>
    <t>226</t>
  </si>
  <si>
    <t>Generate Digital Product Passports by Integrating Production Data into the Asset Administration Shell</t>
  </si>
  <si>
    <t>J. Jung; E. Jeong; B. Song; K. Watson</t>
  </si>
  <si>
    <t>2024 IEEE 29th International Conference on Emerging Technologies and Factory Automation (ETFA)</t>
  </si>
  <si>
    <t>10.1109/ETFA61755.2024.10711027</t>
  </si>
  <si>
    <t>https://ieeexplore.ieee.org/stamp/stamp.jsp?arnumber=10711027</t>
  </si>
  <si>
    <t>373</t>
  </si>
  <si>
    <t>How Industrial Data Meets Information Requirements of the Digital Product Passport – The Case of Remanufacturing Data</t>
  </si>
  <si>
    <t>E. Wagner; S. Kegler; V. Gallina; T. Aigner; J. Koller</t>
  </si>
  <si>
    <t>2024 Electronics Goes Green 2024+ (EGG)</t>
  </si>
  <si>
    <t>10.23919/EGG62010.2024.10631243</t>
  </si>
  <si>
    <t>https://ieeexplore.ieee.org/stamp/stamp.jsp?arnumber=10631243</t>
  </si>
  <si>
    <t>375</t>
  </si>
  <si>
    <t>Implementation and Adoption of Digital Product Passports: A Systematic Literature Review</t>
  </si>
  <si>
    <t>F. Abedi; U. A. Saari; L. Hakola</t>
  </si>
  <si>
    <t>2024 IEEE International Conference on Engineering, Technology, and Innovation (ICE/ITMC)</t>
  </si>
  <si>
    <t>10.1109/ICE/ITMC61926.2024.10794320</t>
  </si>
  <si>
    <t>https://ieeexplore.ieee.org/stamp/stamp.jsp?arnumber=10794320</t>
  </si>
  <si>
    <t>392</t>
  </si>
  <si>
    <t>Industry Perspectives on the Digital Product Passport: A Guide to Sustainable Value Chains From an Engineering Perspective</t>
  </si>
  <si>
    <t>M. Trienens; N. Schreiner; A. Hovemann; R. Dumitrescu</t>
  </si>
  <si>
    <t>2025 IEEE European Technology and Engineering Management Summit (E-TEMS)</t>
  </si>
  <si>
    <t>10.1109/E-TEMS64751.2025.11239259</t>
  </si>
  <si>
    <t>https://ieeexplore.ieee.org/stamp/stamp.jsp?arnumber=11239259</t>
  </si>
  <si>
    <t>369</t>
  </si>
  <si>
    <t>Integrating Digital Product Passports in Multi-Level Supply Chain for enabling Horizontal and Vertical Integration in the Circular Economy</t>
  </si>
  <si>
    <t>Thunyaluck, M.; Fatahi Valilai, O.F.</t>
  </si>
  <si>
    <t>IEEE International Conference on Industrial Engineering and Engineering Management</t>
  </si>
  <si>
    <t>IEEE Computer Society</t>
  </si>
  <si>
    <t>10.1109/IEEM62345.2024.10857137</t>
  </si>
  <si>
    <t>https://www.scopus.com/inward/record.uri?eid=2-s2.0-85218032556&amp;doi=10.1109%2FIEEM62345.2024.10857137&amp;partnerID=40&amp;md5=12b89dcfa6af53221a1e4c7f87246812</t>
  </si>
  <si>
    <t>231</t>
  </si>
  <si>
    <t>Leveraging Digital Product Passports to Derive Circular Strategies</t>
  </si>
  <si>
    <t>Moritz Hörger and Mara Simon and Yannik Hermann and Tobias Lachnit and Martin Benfer and Gisela Lanza</t>
  </si>
  <si>
    <t>10.1016/j.procir.2025.09.033</t>
  </si>
  <si>
    <t>https://doi.org/10.1016/j.procir.2025.09.033</t>
  </si>
  <si>
    <t>446</t>
  </si>
  <si>
    <t>Leveraging Language Embeddings for Missing Data Imputation in Multilingual Digital Product Passports</t>
  </si>
  <si>
    <t>M. Mollaeian</t>
  </si>
  <si>
    <t>2025 7th International Conference on Natural Language Processing (ICNLP)</t>
  </si>
  <si>
    <t>10.1109/ICNLP65360.2025.11108615</t>
  </si>
  <si>
    <t>https://ieeexplore.ieee.org/stamp/stamp.jsp?arnumber=11108615</t>
  </si>
  <si>
    <t>Machine Learning-Based Data Quality Assessment for the Textile and Clothing Digital Product Passport</t>
  </si>
  <si>
    <t>Cruz, EF; Silva, P; Serra, S; Rodrigues, R; Alves, M; Oliveira, J; da Cruz, AMR</t>
  </si>
  <si>
    <t>APPLIED SCIENCES-BASEL</t>
  </si>
  <si>
    <t>10.3390/app151810259</t>
  </si>
  <si>
    <t>http://dx.doi.org/10.3390/app151810259</t>
  </si>
  <si>
    <t>Metrology and the quality infrastructure for the Digital Product Passport</t>
  </si>
  <si>
    <t>Niederhausen, J.; Hutzschenreuter, D.; El Jaoua, W.; Sołtysiński, T.; Eichstadt, S.; Werhahn, O.</t>
  </si>
  <si>
    <t>Measurement: Sensors</t>
  </si>
  <si>
    <t>10.1016/j.measen.2024.101491</t>
  </si>
  <si>
    <t>https://www.scopus.com/inward/record.uri?eid=2-s2.0-85214272490&amp;doi=10.1016%2Fj.measen.2024.101491&amp;partnerID=40&amp;md5=2af48a6c1a30576be3e031ade3e4c01c</t>
  </si>
  <si>
    <t>interoperability; DPP/product data</t>
  </si>
  <si>
    <t>180</t>
  </si>
  <si>
    <t>Operationalizing Upgrade Circular Economy: Concept for Application and Implementation of Event-Based Integrated Digital Product Passports in Manufacturing Companies</t>
  </si>
  <si>
    <t>Berninger, S; Spiss, M; Perau, M; Janssen, J; Gaillard, A; Boos, W; Schröer, T</t>
  </si>
  <si>
    <t>10.1016/j.ifacol.2025.09.108</t>
  </si>
  <si>
    <t>http://dx.doi.org/10.1016/j.ifacol.2025.09.108</t>
  </si>
  <si>
    <t>43</t>
  </si>
  <si>
    <t>Orchestrating a smart circular economy: Guiding principles for digital product passports</t>
  </si>
  <si>
    <t>David J. Langley and Eugenia Rosca and Marios Angelopoulos and Oscar Kamminga and Christa Hooijer</t>
  </si>
  <si>
    <t>Journal of Business Research</t>
  </si>
  <si>
    <t>10.1016/j.jbusres.2023.114259</t>
  </si>
  <si>
    <t>https://doi.org/10.1016/j.jbusres.2023.114259</t>
  </si>
  <si>
    <t>435</t>
  </si>
  <si>
    <t>Readiness Assessment for Digital Product Passport in the Textile Industry: A firm-level diagnosis using TOE Framework</t>
  </si>
  <si>
    <t>P. G. Dake; V. Ahuja</t>
  </si>
  <si>
    <t>2025 International Conference on Emerging Information Technology and Engineering Solutions (EITES)</t>
  </si>
  <si>
    <t>10.1109/EITES66543.2025.00033</t>
  </si>
  <si>
    <t>https://ieeexplore.ieee.org/stamp/stamp.jsp?arnumber=11206283</t>
  </si>
  <si>
    <t>368</t>
  </si>
  <si>
    <t>Realizing Digital Product Passports with Crowdsourcing Principles: The Case of Sustainable Smart Grids</t>
  </si>
  <si>
    <t>Voulgaridis, K.; Lagkas, T.; Karampatzakis, D.; Argyriou, V.; Sarigiannidis, P.</t>
  </si>
  <si>
    <t>Proceedings - 19th International Conference on Distributed Computing in Smart Systems and the Internet of Things, DCOSS-IoT 2023</t>
  </si>
  <si>
    <t>10.1109/DCOSS-IoT58021.2023.00068</t>
  </si>
  <si>
    <t>https://www.scopus.com/inward/record.uri?eid=2-s2.0-85174418697&amp;doi=10.1109%2FDCOSS-IoT58021.2023.00068&amp;partnerID=40&amp;md5=7290d4ca949b36babea1cfdaf33096d4</t>
  </si>
  <si>
    <t>260</t>
  </si>
  <si>
    <t>Sustainable Public Procurement: The Impact of Ability, Motivation, and Opportunity on the Implementation of Different Types of Sustainable Public Procurement</t>
  </si>
  <si>
    <t>Grandia &amp; Voncken</t>
  </si>
  <si>
    <t>10.3390/su11195215</t>
  </si>
  <si>
    <t>https://doi.org/10.3390/su11195215</t>
  </si>
  <si>
    <t>Useful implementation evidence, but lower outlet quality than the main procurement anchors.</t>
  </si>
  <si>
    <t>The Role of Digitalization and Human Aspects in the Use of Digital Product Passport for Sustainable Upcycling (De)Construction Waste</t>
  </si>
  <si>
    <t>Psarommatis, F; Kalb, I; Andronidis, T; Panagou, S; May, G; Huang, LZ; Grammatikos, S</t>
  </si>
  <si>
    <t>10.1016/j.ifacol.2025.09.343</t>
  </si>
  <si>
    <t>http://dx.doi.org/10.1016/j.ifacol.2025.09.343</t>
  </si>
  <si>
    <t>2</t>
  </si>
  <si>
    <t>Towards a way to a meaningful Digital Product Passport</t>
  </si>
  <si>
    <t>A. Lüder; P. Hünecke; D. Hoffmann</t>
  </si>
  <si>
    <t>2025 IEEE 30th International Conference on Emerging Technologies and Factory Automation (ETFA)</t>
  </si>
  <si>
    <t>10.1109/ETFA65518.2025.11205576</t>
  </si>
  <si>
    <t>https://ieeexplore.ieee.org/stamp/stamp.jsp?arnumber=11205576</t>
  </si>
  <si>
    <t>359</t>
  </si>
  <si>
    <t>Transforming smallholder agri-food supply chains through digital product passports: A pathway to sustainable markets and innovative business models</t>
  </si>
  <si>
    <t>Madushan Fernando, W.; Chandima Ratnayake, R.M.; Thibbotuwawa, A.; Niles Perera, H.</t>
  </si>
  <si>
    <t>Journal of Open Innovation: Technology, Market, and Complexity</t>
  </si>
  <si>
    <t>10.1016/j.joitmc.2026.100736</t>
  </si>
  <si>
    <t>https://www.scopus.com/inward/record.uri?eid=2-s2.0-105029592308&amp;doi=10.1016%2Fj.joitmc.2026.100736&amp;partnerID=40&amp;md5=de1009a2a0c2986b27d5fbe90654066a</t>
  </si>
  <si>
    <t>148</t>
  </si>
  <si>
    <t>Unveiling the Digital Food Product Passport Paradigm for Ensuring Traceability and Safety in the Global Food Ecosystem</t>
  </si>
  <si>
    <t>S. Evangelatos; P. Bourgos; N. Tsampanaki; N. Kefalakis; A. Ntemou; P. Lappas</t>
  </si>
  <si>
    <t>2025 6th International Conference in Electronic Engineering &amp; Information Technology (EEITE)</t>
  </si>
  <si>
    <t>10.1109/EEITE65381.2025.11166561</t>
  </si>
  <si>
    <t>https://ieeexplore.ieee.org/stamp/stamp.jsp?arnumber=11166561</t>
  </si>
  <si>
    <t>390</t>
  </si>
  <si>
    <t>Compliance-by-Design: Validating Decentralised Architectures for Digital Product Passports under the EU Data Governance Act</t>
  </si>
  <si>
    <t>C. Fabianek; C. Klikovits; M. Tauber; B. A. Naim; M. Boch; M. Benedikt</t>
  </si>
  <si>
    <t>10.23919/CNSM67658.2025.11297456</t>
  </si>
  <si>
    <t>https://ieeexplore.ieee.org/stamp/stamp.jsp?arnumber=11297456</t>
  </si>
  <si>
    <t>386</t>
  </si>
  <si>
    <t>Digital Product Passport Data Transfer via Dataspace Connector: Technical Implementation and Analysis</t>
  </si>
  <si>
    <t>Hulea, M.; Saveanu, G.; Miron, R.</t>
  </si>
  <si>
    <t>2025 29th International Conference on System Theory, Control and Computing, ICSTCC 2025 - Proceedings</t>
  </si>
  <si>
    <t>10.1109/ICSTCC66753.2025.11240327</t>
  </si>
  <si>
    <t>https://www.scopus.com/inward/record.uri?eid=2-s2.0-105028741223&amp;doi=10.1109%2FICSTCC66753.2025.11240327&amp;partnerID=40&amp;md5=6fb208364f2ae91f9a31c0b3569c18f4</t>
  </si>
  <si>
    <t>186</t>
  </si>
  <si>
    <t>Green public procurement - A case study of an innovative building project in Norway</t>
  </si>
  <si>
    <t>Sparrevik, M; Wangen, HF; Fet, AM; De Boer, L</t>
  </si>
  <si>
    <t>10.1016/j.jclepro.2018.04.048</t>
  </si>
  <si>
    <t>http://dx.doi.org/10.1016/j.jclepro.2018.04.048</t>
  </si>
  <si>
    <t>63</t>
  </si>
  <si>
    <t>City level circular transitions: Barriers and limits in Amsterdam, Utrecht and The Hague</t>
  </si>
  <si>
    <t>Campbell-Johnston, K; ten Cate, J; Elfering-Petrovic, M; Gupta, J</t>
  </si>
  <si>
    <t>10.1016/j.jclepro.2019.06.106</t>
  </si>
  <si>
    <t>http://dx.doi.org/10.1016/j.jclepro.2019.06.106</t>
  </si>
  <si>
    <t>89</t>
  </si>
  <si>
    <t>Criteria analysis of green public procurement in the Spanish furniture sector</t>
  </si>
  <si>
    <t>Braulio-Gonzalo, M; Bovea, MD</t>
  </si>
  <si>
    <t>10.1016/j.jclepro.2020.120704</t>
  </si>
  <si>
    <t>http://dx.doi.org/10.1016/j.jclepro.2020.120704</t>
  </si>
  <si>
    <t>69</t>
  </si>
  <si>
    <t>Implementing green public procurement: A replication study</t>
  </si>
  <si>
    <t>Kozuch, AC; von Deimling, C; Essig, M</t>
  </si>
  <si>
    <t>10.1016/j.jclepro.2022.134424</t>
  </si>
  <si>
    <t>http://dx.doi.org/10.1016/j.jclepro.2022.134424</t>
  </si>
  <si>
    <t>100</t>
  </si>
  <si>
    <t>The Ethical Landscape in Public Procurement of ICT Systems</t>
  </si>
  <si>
    <t>Koski, A.; Pirinen, S.; Mikkonen, T.</t>
  </si>
  <si>
    <t>10.1007/978-3-031-85849-9_3</t>
  </si>
  <si>
    <t>https://www.scopus.com/inward/record.uri?eid=2-s2.0-105001287650&amp;doi=10.1007%2F978-3-031-85849-9_3&amp;partnerID=40&amp;md5=3d1d1d571b31b0d8a5ee736b305d7f8a</t>
  </si>
  <si>
    <t>296</t>
  </si>
  <si>
    <t>Exploring the internal audit of public procurement governance: a systematic literature review</t>
  </si>
  <si>
    <t>Yanuarisa, Y; Irianto, G; Djamhuri, A; Rusydi, MK</t>
  </si>
  <si>
    <t>COGENT BUSINESS &amp; MANAGEMENT</t>
  </si>
  <si>
    <t>TAYLOR &amp; FRANCIS LTD</t>
  </si>
  <si>
    <t>10.1080/23311975.2025.2485411</t>
  </si>
  <si>
    <t>http://dx.doi.org/10.1080/23311975.2025.2485411</t>
  </si>
  <si>
    <t>79</t>
  </si>
  <si>
    <t>Integrating Digital Product Passports into PLM Systems</t>
  </si>
  <si>
    <t>Bruno, G.; Marongiu, G.; Panza, L.</t>
  </si>
  <si>
    <t>10.1007/978-3-032-09704-0_26</t>
  </si>
  <si>
    <t>https://www.scopus.com/inward/record.uri?eid=2-s2.0-105023296592&amp;doi=10.1007%2F978-3-032-09704-0_26&amp;partnerID=40&amp;md5=5d80531bd63dc514e86f2fa9f44c0fae</t>
  </si>
  <si>
    <t>156</t>
  </si>
  <si>
    <t>A collaborative agent based green IS practice assessment tool for environmental sustainability attainment in enterprise data centers</t>
  </si>
  <si>
    <t>Anthony B., Jr.; Abdul Majid M.; Romli A.</t>
  </si>
  <si>
    <t>Journal of Enterprise Information Management</t>
  </si>
  <si>
    <t>10.1108/jeim-10-2017-0147</t>
  </si>
  <si>
    <t>https://www.scopus.com/inward/record.uri?eid=2-s2.0-85052563911&amp;doi=10.1108%2Fjeim-10-2017-0147&amp;partnerID=40&amp;md5=74dbf7e21ade60c4b313407044999646</t>
  </si>
  <si>
    <t>M</t>
  </si>
  <si>
    <t>An approach to carve sustainability into architecture knowledge practice</t>
  </si>
  <si>
    <t>Funke M.; Lago P.; Donker R.</t>
  </si>
  <si>
    <t>Information and Software Technology</t>
  </si>
  <si>
    <t>10.1016/j.infsof.2025.107904</t>
  </si>
  <si>
    <t>https://www.scopus.com/inward/record.uri?eid=2-s2.0-105017958730&amp;doi=10.1016%2Fj.infsof.2025.107904&amp;partnerID=40&amp;md5=a49229ff103eb1c16d5a944e3d7653bf</t>
  </si>
  <si>
    <t>L</t>
  </si>
  <si>
    <t>Open Reference Architecture for Sustainable Papermaking based on Industrial Interoperability Standards and Cloud-Native Technologies</t>
  </si>
  <si>
    <t>Juhlin, P; Othen, R; Zehnpfund, A; Song, C; Schlake, J; Schmeiser, A; Kratzer, K; Sejdija, J; Kayser, P</t>
  </si>
  <si>
    <t>10.1109/ETFA61755.2024.10711031</t>
  </si>
  <si>
    <t>http://dx.doi.org/10.1109/ETFA61755.2024.10711031</t>
  </si>
  <si>
    <t>13</t>
  </si>
  <si>
    <t>A contextual analysis of the impact of strategic sourcing and E-procurement on performance</t>
  </si>
  <si>
    <t>Kim, M; Suresh, NC; Kocabasoglu-Hillmer, C</t>
  </si>
  <si>
    <t>JOURNAL OF BUSINESS &amp; INDUSTRIAL MARKETING</t>
  </si>
  <si>
    <t>10.1108/JBIM-01-2012-0010</t>
  </si>
  <si>
    <t>http://dx.doi.org/10.1108/JBIM-01-2012-0010</t>
  </si>
  <si>
    <t>65</t>
  </si>
  <si>
    <t>Adaptive Learning Paths for Industry 4.0 Competencies: Didactic Framework with Role- and Maturity-Based Differentiation Using the Asset Administration Shell</t>
  </si>
  <si>
    <t>Büttner, D.; Schöttke, D.; Schäfer, S.; Knoch, S.; Porta, D.; Schwartz, T.; Ocando Röhricht, C.; Zielstorff, A.; Bayha, A.</t>
  </si>
  <si>
    <t>10.1007/978-3-032-15576-4_15</t>
  </si>
  <si>
    <t>https://www.scopus.com/inward/record.uri?eid=2-s2.0-105029701887&amp;doi=10.1007%2F978-3-032-15576-4_15&amp;partnerID=40&amp;md5=edac142c3ff13702f6e5e78b4bea1051</t>
  </si>
  <si>
    <t>151</t>
  </si>
  <si>
    <t>Advancing collaboration toward green supplier selection: perspective of green relational capital</t>
  </si>
  <si>
    <t>Ograh, T; Ayarkwa, J; Acheampong, A; Abu, IM</t>
  </si>
  <si>
    <t>JOURNAL OF PUBLIC PROCUREMENT</t>
  </si>
  <si>
    <t>10.1108/JOPP-04-2024-0046</t>
  </si>
  <si>
    <t>http://dx.doi.org/10.1108/JOPP-04-2024-0046</t>
  </si>
  <si>
    <t>136</t>
  </si>
  <si>
    <t>AI-Powered Semantic Matching and Data Harmonization for Industrial Applications with OPC UA &amp; Asset Administration Shells</t>
  </si>
  <si>
    <t>Ajdinovic, S; Maisch, N; Kimmel, R; Rasouli, T; Lechler, A; Wortmann, A; Riedel, O</t>
  </si>
  <si>
    <t>2025 THE 16TH INTERNATIONAL CONFERENCE ON MECHANICAL AND INTELLIGENT MANUFACTURING TECHNOLOGIES, ICMIMT</t>
  </si>
  <si>
    <t>10.1109/ICMIMT65123.2025.11091954</t>
  </si>
  <si>
    <t>http://dx.doi.org/10.1109/ICMIMT65123.2025.11091954</t>
  </si>
  <si>
    <t>interoperability; DPP/product data; governance/standards</t>
  </si>
  <si>
    <t>52</t>
  </si>
  <si>
    <t>An assesment on the implementation of sustainable supply chain management (green public procurement) a case study in the city of Johannesburg municipality</t>
  </si>
  <si>
    <t>Mutenda, K.E.</t>
  </si>
  <si>
    <t>https://www.scopus.com/inward/record.uri?eid=2-s2.0-85079490401&amp;partnerID=40&amp;md5=3750178abc82e4cff64edfe155d97229</t>
  </si>
  <si>
    <t>344</t>
  </si>
  <si>
    <t>An empirical study on technology readiness level of industries to use green hydrogen in India: role of policy interventions</t>
  </si>
  <si>
    <t>Harichandan, S; Kar, SK</t>
  </si>
  <si>
    <t>INTERNATIONAL JOURNAL OF ENERGY SECTOR MANAGEMENT</t>
  </si>
  <si>
    <t>10.1108/IJESM-01-2024-0011</t>
  </si>
  <si>
    <t>http://dx.doi.org/10.1108/IJESM-01-2024-0011</t>
  </si>
  <si>
    <t>130</t>
  </si>
  <si>
    <t>An Investigation of Contractual Requirements for BIM Adoption in the Brazilian Public Sector</t>
  </si>
  <si>
    <t>Brito, DM; Ferreira, EDM; Costa, DB</t>
  </si>
  <si>
    <t>PROCEEDINGS OF THE 18TH INTERNATIONAL CONFERENCE ON COMPUTING IN CIVIL AND BUILDING ENGINEERING, ICCCBE 2020</t>
  </si>
  <si>
    <t>10.1007/978-3-030-51295-8_28</t>
  </si>
  <si>
    <t>http://dx.doi.org/10.1007/978-3-030-51295-8_28</t>
  </si>
  <si>
    <t>2026-02-25</t>
  </si>
  <si>
    <t>procurement/public administration</t>
  </si>
  <si>
    <t>469</t>
  </si>
  <si>
    <t>An optimal supplier selection method for uncertain sustainable supply chains</t>
  </si>
  <si>
    <t>Liu, QR; Huang, H; Zeng, ZQ; Chen, L; Ming, JR</t>
  </si>
  <si>
    <t>EUROPEAN JOURNAL OF INDUSTRIAL ENGINEERING</t>
  </si>
  <si>
    <t>INDERSCIENCE ENTERPRISES LTD</t>
  </si>
  <si>
    <t>10.1504/EJIE.2023.130598</t>
  </si>
  <si>
    <t>http://dx.doi.org/10.1504/EJIE.2023.130598</t>
  </si>
  <si>
    <t>122</t>
  </si>
  <si>
    <t>Analysis of sustainable practices adopted in the health sector public procurement process of goods by the Provincial Director of Health Services Office, Central Province of Sri Lanka</t>
  </si>
  <si>
    <t>Wijekoon, W.M.C.R.; Lokugamage, A.; Wickrama, W.A.S.S.; Dissanayake, D.M.A.K.</t>
  </si>
  <si>
    <t>International Journal of Procurement Management</t>
  </si>
  <si>
    <t>Inderscience Publishers</t>
  </si>
  <si>
    <t>10.1504/IJPM.2021.10040756</t>
  </si>
  <si>
    <t>https://www.scopus.com/inward/record.uri?eid=2-s2.0-85147651496&amp;doi=10.1504%2FIJPM.2021.10040756&amp;partnerID=40&amp;md5=9fb70991550d86f491fc908648ef0b43</t>
  </si>
  <si>
    <t>320</t>
  </si>
  <si>
    <t>Analysis of the Impact of Blockchain and Internet of Things (BIoT) on Public Procurement</t>
  </si>
  <si>
    <t>Mircea, M; Stoica, M; Ghilic-Micu, B</t>
  </si>
  <si>
    <t>IEEE ACCESS</t>
  </si>
  <si>
    <t>IEEE-INST ELECTRICAL ELECTRONICS ENGINEERS INC</t>
  </si>
  <si>
    <t>10.1109/ACCESS.2022.3182656</t>
  </si>
  <si>
    <t>http://dx.doi.org/10.1109/ACCESS.2022.3182656</t>
  </si>
  <si>
    <t>72</t>
  </si>
  <si>
    <t>Application lca for eco-efficiency assessment of investments projects</t>
  </si>
  <si>
    <t>Kulczycka, J.; Smol, M.</t>
  </si>
  <si>
    <t>Acta Innovations</t>
  </si>
  <si>
    <t>Research and Innovation Centre Pro-Akademia</t>
  </si>
  <si>
    <t>https://www.scopus.com/inward/record.uri?eid=2-s2.0-85106449324&amp;partnerID=40&amp;md5=35a3472d57cc9e8c03a7b7cf9305d741</t>
  </si>
  <si>
    <t>357</t>
  </si>
  <si>
    <t>APPLICATION OF BIM TECHNOLOGY IN LINEAR CONSTRUCTION PROJECTS</t>
  </si>
  <si>
    <t>Ruska, F; Dolacek-Alduk, Z; Dimter, S; Zagvozda, M</t>
  </si>
  <si>
    <t>ROAD AND RAIL INFRASTRUCTURE V</t>
  </si>
  <si>
    <t>UNIV ZAGREB, FAC CIVIL ENGINEERING</t>
  </si>
  <si>
    <t>10.5592/CO/CETRA.2018.917</t>
  </si>
  <si>
    <t>http://dx.doi.org/10.5592/CO/CETRA.2018.917</t>
  </si>
  <si>
    <t>106</t>
  </si>
  <si>
    <t>Archetypes of Deconstruction: A framework introducing LCA to the End-of-Life</t>
  </si>
  <si>
    <t>Frazão Pedroso, P.F.; Silvestre, J.D.; Costa, A.A.</t>
  </si>
  <si>
    <t>10.1088/1755-1315/1568/1/012023</t>
  </si>
  <si>
    <t>https://www.scopus.com/inward/record.uri?eid=2-s2.0-105027118585&amp;doi=10.1088%2F1755-1315%2F1568%2F1%2F012023&amp;partnerID=40&amp;md5=744d3b0310bbcef32ab5918329eded65</t>
  </si>
  <si>
    <t>189</t>
  </si>
  <si>
    <t>Assessing Drivers, Barriers and Policy Interventions for Implementing Digitalization in the Construction Industry of Pakistan</t>
  </si>
  <si>
    <t>Tanoli, WA</t>
  </si>
  <si>
    <t>BUILDINGS</t>
  </si>
  <si>
    <t>10.3390/buildings15152798</t>
  </si>
  <si>
    <t>http://dx.doi.org/10.3390/buildings15152798</t>
  </si>
  <si>
    <t>Assessing sustainability maturity in public procurement: a case study of a Brazilian educational institution</t>
  </si>
  <si>
    <t>Scotelano, L; Gonçalves, A; Boloy, R</t>
  </si>
  <si>
    <t>10.1108/JOPP-03-2025-0020</t>
  </si>
  <si>
    <t>http://dx.doi.org/10.1108/JOPP-03-2025-0020</t>
  </si>
  <si>
    <t>87</t>
  </si>
  <si>
    <t>Asset Administration Shell and Graph-based Analysis for Designing Sustainable Products</t>
  </si>
  <si>
    <t>N. Sahlab; H. Rimaz; P. Juhlin; M. L. Guzzo; S. Rader</t>
  </si>
  <si>
    <t>10.1109/ETFA65518.2025.11205715</t>
  </si>
  <si>
    <t>https://ieeexplore.ieee.org/stamp/stamp.jsp?arnumber=11205715</t>
  </si>
  <si>
    <t>406</t>
  </si>
  <si>
    <t>Asset Administration Shell driven (Product) Carbon Footprint exchange with Data Management Systems</t>
  </si>
  <si>
    <t>Weber, S; Forte, S; Savarino, P; Dickopf, T; Apostolov, C</t>
  </si>
  <si>
    <t>10.1109/ETFA61755.2024.10710683</t>
  </si>
  <si>
    <t>http://dx.doi.org/10.1109/ETFA61755.2024.10710683</t>
  </si>
  <si>
    <t>45</t>
  </si>
  <si>
    <t>Backcasting the Future of the Automotive Industry: Leveraging Digital
Technologies for the Circular Economy</t>
  </si>
  <si>
    <t>Eckert, L., Finner, A.
-S., Heinz, D., &amp; Satzger, G.</t>
  </si>
  <si>
    <t>Communications of the Association
for Information Systems.</t>
  </si>
  <si>
    <t>https://aisel.aisnet.org/cais/vol58/iss1/30</t>
  </si>
  <si>
    <t>AIS eLibrary</t>
  </si>
  <si>
    <t>Research Paper</t>
  </si>
  <si>
    <t>431</t>
  </si>
  <si>
    <t>Barriers and Challenges for Public Procurement Integrity in Iraq: Systematic Review Study</t>
  </si>
  <si>
    <t>Alsamarraie, MM; Ghazali, FEM</t>
  </si>
  <si>
    <t>KSCE JOURNAL OF CIVIL ENGINEERING</t>
  </si>
  <si>
    <t>KOREAN SOCIETY OF CIVIL ENGINEERS-KSCE</t>
  </si>
  <si>
    <t>10.1007/s12205-023-1196-4</t>
  </si>
  <si>
    <t>http://dx.doi.org/10.1007/s12205-023-1196-4</t>
  </si>
  <si>
    <t>81</t>
  </si>
  <si>
    <t>Beyond Compliance: Evaluating the Governance Capacity of Public Digital Platforms in Sustainable Supply Chains</t>
  </si>
  <si>
    <t>Pariso, P; Marino, A</t>
  </si>
  <si>
    <t>FORESIGHT AND STI GOVERNANCE</t>
  </si>
  <si>
    <t>NATL RESEARCH UNIV HIGHER SCH ECONOMICS</t>
  </si>
  <si>
    <t>10.17323/fstig.2025.27396</t>
  </si>
  <si>
    <t>http://dx.doi.org/10.17323/fstig.2025.27396</t>
  </si>
  <si>
    <t>interoperability; procurement/public administration; sustainability/circular economy; data ecosystems/data spaces; governance/standards</t>
  </si>
  <si>
    <t>102</t>
  </si>
  <si>
    <t>Beyond Green Labels: Leveraging Blockchain, IoT, and AI for Enhanced Traceability and Verification of Green Marketing Claims in Transnational Agri-Food Supply Chains</t>
  </si>
  <si>
    <t>Nicolau, AM; Petcu, P</t>
  </si>
  <si>
    <t>10.3390/su18020782</t>
  </si>
  <si>
    <t>http://dx.doi.org/10.3390/su18020782</t>
  </si>
  <si>
    <t>26</t>
  </si>
  <si>
    <t>BIM IMPLEMENTATION FOR STRUCTURAL DESIGN COURSES IN CIVIL ENGINEERING</t>
  </si>
  <si>
    <t>Pomares, JC; Baeza, FJ; Varona, FB; Bru, D</t>
  </si>
  <si>
    <t>BUILDING INFORMATION MODELLING (BIM) IN DESIGN, CONSTRUCTION AND OPERATIONS II</t>
  </si>
  <si>
    <t>WIT PRESS</t>
  </si>
  <si>
    <t>10.2495/BIM170081</t>
  </si>
  <si>
    <t>http://dx.doi.org/10.2495/BIM170081</t>
  </si>
  <si>
    <t>96</t>
  </si>
  <si>
    <t>BIM Requirements in the Spanish Public Tender-Analysis of Adoption in Construction Contracts</t>
  </si>
  <si>
    <t>Perez-Garcia, A; Martin-Dorta, N; Aranda, JA</t>
  </si>
  <si>
    <t>10.3390/buildings11120594</t>
  </si>
  <si>
    <t>http://dx.doi.org/10.3390/buildings11120594</t>
  </si>
  <si>
    <t>76</t>
  </si>
  <si>
    <t>Blockchain Technology in Innovation Ecosystems for Sustainable Purchases through the Perception of Public Managers</t>
  </si>
  <si>
    <t>da Silveira, V.A.; Reis Da Costa, S.R.R.; Resende, D.</t>
  </si>
  <si>
    <t>WSEAS Transactions on Business and Economics</t>
  </si>
  <si>
    <t>World Scientific and Engineering Academy and Society</t>
  </si>
  <si>
    <t>10.37394/23207.2022.19.69</t>
  </si>
  <si>
    <t>https://www.scopus.com/inward/record.uri?eid=2-s2.0-85127403468&amp;doi=10.37394%2F23207.2022.19.69&amp;partnerID=40&amp;md5=67156e1521a199fc0c6ffe765463a102</t>
  </si>
  <si>
    <t>327</t>
  </si>
  <si>
    <t>Blockchain-Based Built Environment Data Management for Modular Construction</t>
  </si>
  <si>
    <t>Y. Zhang; T. Tryfonas; N. Carhart; A. Eker</t>
  </si>
  <si>
    <t>2024 IEEE International Smart Cities Conference (ISC2)</t>
  </si>
  <si>
    <t>10.1109/ISC260477.2024.11004252</t>
  </si>
  <si>
    <t>https://ieeexplore.ieee.org/stamp/stamp.jsp?arnumber=11004252</t>
  </si>
  <si>
    <t>395</t>
  </si>
  <si>
    <t>Boundary spanners as a key to value creation in infrastructure procurement</t>
  </si>
  <si>
    <t>Liljeroos-Cork, JM; Laitinen, K</t>
  </si>
  <si>
    <t>10.1108/JOPP-07-2023-0046</t>
  </si>
  <si>
    <t>http://dx.doi.org/10.1108/JOPP-07-2023-0046</t>
  </si>
  <si>
    <t>Article; Early Access</t>
  </si>
  <si>
    <t>procurement/public administration; sustainability/circular economy; DSR-support</t>
  </si>
  <si>
    <t>132</t>
  </si>
  <si>
    <t>Built4People: Building Innovation Networks and Associated IT Services for a Sustainable Construction Industry</t>
  </si>
  <si>
    <t>A. Yurchyshyna; A. Zarli; E. Yontem; R. Koppelaar</t>
  </si>
  <si>
    <t>2025 IEEE International Conference on Engineering, Technology, and Innovation (ICE/ITMC)</t>
  </si>
  <si>
    <t>10.1109/ICE/ITMC65658.2025.11106575</t>
  </si>
  <si>
    <t>https://ieeexplore.ieee.org/stamp/stamp.jsp?arnumber=11106575</t>
  </si>
  <si>
    <t>385</t>
  </si>
  <si>
    <t>Can productivity and profitability be enhanced in intensively managed cereal systems while reducing the environmental footprint of production? Assessing sustainable intensification options in the breadbasket of India</t>
  </si>
  <si>
    <t>Kumar, V; Jat, HS; Sharma, PC; Balwinder-Singh; Gathala, MK; Malik, RK; Kamboj, BR; Yadav, AK; Ladha, JK; Raman, A; Sharma, DK; McDonald, A</t>
  </si>
  <si>
    <t>AGRICULTURE ECOSYSTEMS &amp; ENVIRONMENT</t>
  </si>
  <si>
    <t>10.1016/j.agee.2017.10.006</t>
  </si>
  <si>
    <t>http://dx.doi.org/10.1016/j.agee.2017.10.006</t>
  </si>
  <si>
    <t>145</t>
  </si>
  <si>
    <t>Challenges in Implementing Gaia-X for Industrial Applications Insights from Three Diverse Use Cases; Herausforderungen bei der Implementierung von Gaia-X für industrielle Anwendungen – Einblicke aus drei verschiedenen Anwen-dungsfällen</t>
  </si>
  <si>
    <t>Bott, A.; Behrendt, S.; Gleich, K.; Karimi, E.; Fleischer, J.; Lanza, G.; Schulze, V.</t>
  </si>
  <si>
    <t>ZWF Zeitschrift fuer Wirtschaftlichen Fabrikbetrieb</t>
  </si>
  <si>
    <t>Walter de Gruyter GmbH</t>
  </si>
  <si>
    <t>10.1515/zwf-2025-1023</t>
  </si>
  <si>
    <t>https://www.scopus.com/inward/record.uri?eid=2-s2.0-105003811732&amp;doi=10.1515%2Fzwf-2025-1023&amp;partnerID=40&amp;md5=9b11406a8647d5e641586c08d194b384</t>
  </si>
  <si>
    <t>219</t>
  </si>
  <si>
    <t>Comparative Analysis of Digitalization Initiatives in Purchasing and Supply Management: Insights from Sustainable Emerging Economies in the Manufacturing Sector</t>
  </si>
  <si>
    <t>Thalagala, NT; Perera, HN</t>
  </si>
  <si>
    <t>10.1016/j.ifacol.2025.09.394</t>
  </si>
  <si>
    <t>http://dx.doi.org/10.1016/j.ifacol.2025.09.394</t>
  </si>
  <si>
    <t>117</t>
  </si>
  <si>
    <t>Critical success factors for public-private partnerships in smart city infrastructure projects</t>
  </si>
  <si>
    <t>Almarri, K; Boussabaine, H</t>
  </si>
  <si>
    <t>CONSTRUCTION INNOVATION-ENGLAND</t>
  </si>
  <si>
    <t>10.1108/CI-04-2022-0072</t>
  </si>
  <si>
    <t>http://dx.doi.org/10.1108/CI-04-2022-0072</t>
  </si>
  <si>
    <t>140</t>
  </si>
  <si>
    <t>CROSSTEX: CROSS-SECTORAL PLATFORM FOR SUSTAINABLE AND CIRCULAR TEXTILE</t>
  </si>
  <si>
    <t>Giorgi, D.; Morea, C.; Incrocci, L.; Bertelli, M.; Pizzo, M.R.; Cattaneo, P.</t>
  </si>
  <si>
    <t>Procedia Environmental Science, Engineering and Management</t>
  </si>
  <si>
    <t>Ecozone, OAIMDD</t>
  </si>
  <si>
    <t>https://www.scopus.com/inward/record.uri?eid=2-s2.0-105023565926&amp;partnerID=40&amp;md5=f953886d78b7f03ffd7315f270d05839</t>
  </si>
  <si>
    <t>193</t>
  </si>
  <si>
    <t>CURRENT PRACTICES OF INTERNET OF THINGS (IoT): THE DEFINITION AND ITS INTEGRATION WITHIN JOINT VENTURES (JV) COMPANY IN MALAYSIAN CONSTRUCTION INDUSTRY</t>
  </si>
  <si>
    <t>Radzuan, S.A.M.; Brahim, J.; Nguyen, Q.; Ponniah, V.</t>
  </si>
  <si>
    <t>Malaysian Construction Research Journal</t>
  </si>
  <si>
    <t>Construction Research Institute of Malaysia</t>
  </si>
  <si>
    <t>https://www.scopus.com/inward/record.uri?eid=2-s2.0-85208924657&amp;partnerID=40&amp;md5=f5dc55f8af562996fc6e8146650f2185</t>
  </si>
  <si>
    <t>307</t>
  </si>
  <si>
    <t>Data Quality Barriers for Transparency in Public Procurement</t>
  </si>
  <si>
    <t>Soylu, A; Corcho, O; Elvesaeter, B; Badenes-Olmedo, C; Yedro-Martinez, F; Kovacic, M; Posinkovic, M; Medvescek, M; Makgill, I; Taggart, C; Simperl, E; Lech, TC; Roman, D</t>
  </si>
  <si>
    <t>INFORMATION</t>
  </si>
  <si>
    <t>10.3390/info13020099</t>
  </si>
  <si>
    <t>http://dx.doi.org/10.3390/info13020099</t>
  </si>
  <si>
    <t>97</t>
  </si>
  <si>
    <t>Decentralised Device Identity: PUF‑Driven Soulbound Token Verification for IoT Supply Chain Security</t>
  </si>
  <si>
    <t>D. Kasimatis; I. Politis; N. Pitropakis; P. Papadopoulos; W. J. Buchanan</t>
  </si>
  <si>
    <t>IEEE Transactions on Consumer Electronics</t>
  </si>
  <si>
    <t>10.1109/TCE.2025.3642921</t>
  </si>
  <si>
    <t>https://ieeexplore.ieee.org/stamp/stamp.jsp?arnumber=11298193</t>
  </si>
  <si>
    <t>388</t>
  </si>
  <si>
    <t>Derivation of requirements for life cycle assessment-related information to be integrated in digital battery passports</t>
  </si>
  <si>
    <t>Haupt, J; Cerdas, F; Herrmann, C</t>
  </si>
  <si>
    <t>10.1016/j.procir.2024.01.044</t>
  </si>
  <si>
    <t>http://dx.doi.org/10.1016/j.procir.2024.01.044</t>
  </si>
  <si>
    <t>28</t>
  </si>
  <si>
    <t>Design Wire Engineer Leverage and Transfer (DWELT) Framework for Building-Level Digital Twins</t>
  </si>
  <si>
    <t>Farghaly, K.; Mêda, P.; Shaw, C.; O'Donnell, J.; Cecconi, F.R.; Moretti, N.</t>
  </si>
  <si>
    <t>10.1007/978-3-032-09040-9_1</t>
  </si>
  <si>
    <t>https://www.scopus.com/inward/record.uri?eid=2-s2.0-105021398428&amp;doi=10.1007%2F978-3-032-09040-9_1&amp;partnerID=40&amp;md5=6c9da6aa14eb6bd4a24a6fa0d967f96e</t>
  </si>
  <si>
    <t>157</t>
  </si>
  <si>
    <t>Developing a Concept for an OPC UA Standard to Improve Interoperability in Battery Cell Production: A Methodological Approach for Standardization in Heterogeneous Production Environments</t>
  </si>
  <si>
    <t>Sawodny, J; Otte, S; Böttinger, F; Haag, F; Schlereth, A; Hülsmann, TH; Tidde, F; Roth, D; Schmetz, A; Puchta, A; Schabel, S; Bauernhansl, T; Fleischer, J</t>
  </si>
  <si>
    <t>TECHNOLOGIES</t>
  </si>
  <si>
    <t>10.3390/technologies13070302</t>
  </si>
  <si>
    <t>http://dx.doi.org/10.3390/technologies13070302</t>
  </si>
  <si>
    <t>54</t>
  </si>
  <si>
    <t>Developing green knowledge toward supplier selection: a green intellectual capital perspective</t>
  </si>
  <si>
    <t>Ograh, T; Ayarkwa, J; Acheampong, A; Osei-Asibey, D</t>
  </si>
  <si>
    <t>10.1108/JOPP-04-2023-0020</t>
  </si>
  <si>
    <t>http://dx.doi.org/10.1108/JOPP-04-2023-0020</t>
  </si>
  <si>
    <t>84</t>
  </si>
  <si>
    <t>Development and implementation of a digital safety passport in compliance with EU machinery regulation</t>
  </si>
  <si>
    <t>Saliger, A.; Mališa, V.; Schellander, M.; Grafinger, M.</t>
  </si>
  <si>
    <t>Mechanical Technology and Structural Materials</t>
  </si>
  <si>
    <t>Croatian Society for Mechanical Technologies</t>
  </si>
  <si>
    <t>https://www.scopus.com/inward/record.uri?eid=2-s2.0-85218674403&amp;partnerID=40&amp;md5=eb1982c916cf2efbed543d3e1516db67</t>
  </si>
  <si>
    <t>230</t>
  </si>
  <si>
    <t>Development of an approach to create and structure the digital representation of disassembly sequences</t>
  </si>
  <si>
    <t>Poenicke, O.; Hauptvogel, M.; Sperling, S.; Bayrhammer, E.</t>
  </si>
  <si>
    <t>10.1016/j.ifacol.2025.09.387</t>
  </si>
  <si>
    <t>https://www.scopus.com/inward/record.uri?eid=2-s2.0-105018796215&amp;doi=10.1016%2Fj.ifacol.2025.09.387&amp;partnerID=40&amp;md5=f03a3d9ddeba54792771015b9605a565</t>
  </si>
  <si>
    <t>175</t>
  </si>
  <si>
    <t>Digital circular ecosystems: A data governance approach</t>
  </si>
  <si>
    <t>Piétron, D.; Staab, P.; Hofmann, F.</t>
  </si>
  <si>
    <t>GAIA - Ecological Perspectives for Science and Society</t>
  </si>
  <si>
    <t>Oekom Verlag</t>
  </si>
  <si>
    <t>10.14512/gaia.32.S1.7</t>
  </si>
  <si>
    <t>https://www.scopus.com/inward/record.uri?eid=2-s2.0-85153893629&amp;doi=10.14512%2Fgaia.32.S1.7&amp;partnerID=40&amp;md5=006359ae62362f13457ceb250984e156</t>
  </si>
  <si>
    <t>262</t>
  </si>
  <si>
    <t>Digital Transition and Waste Management in Architecture, Engineering, Construction, and Operations Industry</t>
  </si>
  <si>
    <t>Pellegrini, L; Campi, S; Locatelli, M; Pattini, G; Di Giuda, GM; Tagliabue, LC</t>
  </si>
  <si>
    <t>FRONTIERS IN ENERGY RESEARCH</t>
  </si>
  <si>
    <t>FRONTIERS MEDIA SA</t>
  </si>
  <si>
    <t>10.3389/fenrg.2020.576462</t>
  </si>
  <si>
    <t>http://dx.doi.org/10.3389/fenrg.2020.576462</t>
  </si>
  <si>
    <t>83</t>
  </si>
  <si>
    <t>Digital Twins: Enhancing Circular Economy through Digital Tools</t>
  </si>
  <si>
    <t>Pehlken, A; Maria, FDR; Dawel, L; Meyer, O</t>
  </si>
  <si>
    <t>10.1016/j.procir.2024.01.082</t>
  </si>
  <si>
    <t>http://dx.doi.org/10.1016/j.procir.2024.01.082</t>
  </si>
  <si>
    <t>24</t>
  </si>
  <si>
    <t>DIGITALISATION DEVELOPMENT AS AN ANTI-CORRUPTION TOOL FOR PUBLIC ADMINISTRATION</t>
  </si>
  <si>
    <t>Hetmanenko, O; Tyvodar, B</t>
  </si>
  <si>
    <t>BALTIC JOURNAL OF ECONOMIC STUDIES</t>
  </si>
  <si>
    <t>Baltija Publishing</t>
  </si>
  <si>
    <t>10.30525/2256-0742/2025-11-4-316-326</t>
  </si>
  <si>
    <t>http://dx.doi.org/10.30525/2256-0742/2025-11-4-316-326</t>
  </si>
  <si>
    <t>procurement/public administration; sustainability/circular economy; data ecosystems/data spaces; governance/standards</t>
  </si>
  <si>
    <t>141</t>
  </si>
  <si>
    <t>Drivers affecting the relation between biodistricts and school meals initiatives: evidence from the Cilento biodistrict</t>
  </si>
  <si>
    <t>Kraljevic, B; Zanasi, C</t>
  </si>
  <si>
    <t>FRONTIERS IN SUSTAINABLE FOOD SYSTEMS</t>
  </si>
  <si>
    <t>10.3389/fsufs.2023.1235871</t>
  </si>
  <si>
    <t>http://dx.doi.org/10.3389/fsufs.2023.1235871</t>
  </si>
  <si>
    <t>108</t>
  </si>
  <si>
    <t>E-invoicing system in Poland</t>
  </si>
  <si>
    <t>Sliwczynski, B</t>
  </si>
  <si>
    <t>E-MENTOR</t>
  </si>
  <si>
    <t>WARSAW SCH ECONOMICS</t>
  </si>
  <si>
    <t>10.15219/em61.1200</t>
  </si>
  <si>
    <t>http://dx.doi.org/10.15219/em61.1200</t>
  </si>
  <si>
    <t>interoperability; procurement/public administration; governance/standards</t>
  </si>
  <si>
    <t>462</t>
  </si>
  <si>
    <t>Early contractor involvement in public infrastructure projects</t>
  </si>
  <si>
    <t>Wondimu, P.A.; Hosseini, A.; Lohne, J.; Hailemichael, E.; Lædre, O.</t>
  </si>
  <si>
    <t>IGLC 2016 - 24th Annual Conference of the International Group for Lean Construction</t>
  </si>
  <si>
    <t>National Pingtung University of Science and Technology</t>
  </si>
  <si>
    <t>https://www.scopus.com/inward/record.uri?eid=2-s2.0-84995922890&amp;partnerID=40&amp;md5=6e02c3ffb036aaf96dad526c4d3887b7</t>
  </si>
  <si>
    <t>356</t>
  </si>
  <si>
    <t>EBDF: The enterprise blockchain design framework and its application to an e-Procurement ecosystem</t>
  </si>
  <si>
    <t>Nodehi, T; Zutshi, A; Grilo, A; Rizvanovic, B</t>
  </si>
  <si>
    <t>COMPUTERS &amp; INDUSTRIAL ENGINEERING</t>
  </si>
  <si>
    <t>PERGAMON-ELSEVIER SCIENCE LTD</t>
  </si>
  <si>
    <t>10.1016/j.cie.2022.108360</t>
  </si>
  <si>
    <t>http://dx.doi.org/10.1016/j.cie.2022.108360</t>
  </si>
  <si>
    <t>interoperability; procurement/public administration</t>
  </si>
  <si>
    <t>465</t>
  </si>
  <si>
    <t>Energy supply chain efficiency in the digital era: Evidence from China's listed companies</t>
  </si>
  <si>
    <t>Fu, SK; Ge, YC; Hao, Y; Peng, JC; Tian, JL</t>
  </si>
  <si>
    <t>ENERGY ECONOMICS</t>
  </si>
  <si>
    <t>10.1016/j.eneco.2024.107597</t>
  </si>
  <si>
    <t>http://dx.doi.org/10.1016/j.eneco.2024.107597</t>
  </si>
  <si>
    <t>125</t>
  </si>
  <si>
    <t>Environmental and Climate Risk Management in Public Procurement: A Proposed Decision Support Tool</t>
  </si>
  <si>
    <t>El Haddadi, T.; Mohamed, M.; Mourabit, T.; El Haddadi, O.; El Allaoui, A.</t>
  </si>
  <si>
    <t>Lecture Notes in Networks and Systems</t>
  </si>
  <si>
    <t>10.1007/978-3-031-26852-6_2</t>
  </si>
  <si>
    <t>https://www.scopus.com/inward/record.uri?eid=2-s2.0-85151139742&amp;doi=10.1007%2F978-3-031-26852-6_2&amp;partnerID=40&amp;md5=7e5b66fa096e971ffb384c248ac6a6d7</t>
  </si>
  <si>
    <t>318</t>
  </si>
  <si>
    <t>Environmental criteria of public procurement as a tool of development sustainability</t>
  </si>
  <si>
    <t>Štofová, L.; Szaryszova, P.</t>
  </si>
  <si>
    <t>Quality - Access to Success</t>
  </si>
  <si>
    <t>SRAC - Societatea Romana Pentru Asigurarea Calitatii office@srac.ro</t>
  </si>
  <si>
    <t>https://www.scopus.com/inward/record.uri?eid=2-s2.0-84974691267&amp;partnerID=40&amp;md5=e047d1e5f6f7bdbb64c032a444db3903</t>
  </si>
  <si>
    <t>354</t>
  </si>
  <si>
    <t>Evaluating Corruption-Prone Public Procurement Stages for Blockchain Integration Using AHP Approach</t>
  </si>
  <si>
    <t>Adjorlolo, G; Tang, ZW; Wauk, G; Sarfo, PA; Braimah, AB; Safo, RB; N-yanyi, B</t>
  </si>
  <si>
    <t>10.3390/systems13040267</t>
  </si>
  <si>
    <t>http://dx.doi.org/10.3390/systems13040267</t>
  </si>
  <si>
    <t>67</t>
  </si>
  <si>
    <t>Evaluation of Indian Railway's Supply Chain Parameters for Improved Sustainability Under Industry 4.0 Transformation: An Application of AHP and TOPSIS</t>
  </si>
  <si>
    <t>Kumar, M; Vipin; Agarwal, A</t>
  </si>
  <si>
    <t>ENGINEERING MANAGEMENT JOURNAL</t>
  </si>
  <si>
    <t>10.1080/10429247.2024.2375166</t>
  </si>
  <si>
    <t>http://dx.doi.org/10.1080/10429247.2024.2375166</t>
  </si>
  <si>
    <t>139</t>
  </si>
  <si>
    <t>Evaluation of sustainable public procurement in Spanish Universties. A focus on canteen services</t>
  </si>
  <si>
    <t>Valls-Val, K; Ibáñez-Forés, V; Bovea, MD</t>
  </si>
  <si>
    <t>ENVIRONMENTAL IMPACT ASSESSMENT REVIEW</t>
  </si>
  <si>
    <t>ELSEVIER SCIENCE INC</t>
  </si>
  <si>
    <t>10.1016/j.eiar.2025.107818</t>
  </si>
  <si>
    <t>http://dx.doi.org/10.1016/j.eiar.2025.107818</t>
  </si>
  <si>
    <t>73</t>
  </si>
  <si>
    <t>Exploring Critical Efficiency Factors in Public Procurement of Goods Type: An Input for Designing an Efficient Decision Support System</t>
  </si>
  <si>
    <t>Naseem, A.; Khan, M.S.; Ayyaz, M.; Ahmed, Y.; Naseem, F.</t>
  </si>
  <si>
    <t>Advances in Transdisciplinary Engineering</t>
  </si>
  <si>
    <t>IOS Press BV</t>
  </si>
  <si>
    <t>10.3233/ATDE250510</t>
  </si>
  <si>
    <t>https://www.scopus.com/inward/record.uri?eid=2-s2.0-105017120028&amp;doi=10.3233%2FATDE250510&amp;partnerID=40&amp;md5=b7bfd7d13dc904cad4e5a464e438ed26</t>
  </si>
  <si>
    <t>274</t>
  </si>
  <si>
    <t>EXPLORING THE POTENTIAL OF BLOCKCHAIN TECHNOLOGY ADOPTION IN THE SRI LANKAN CONSTRUCTION INDUSTRY: OPPORTUNITIES AND BARRIERS TO IMPLEMENTATION</t>
  </si>
  <si>
    <t>Bandara, D.W.J.W.; Wimalaratne, P.L.I.; Kulatunga, U.; Wijayasiri, A.</t>
  </si>
  <si>
    <t>World Construction Symposium</t>
  </si>
  <si>
    <t>Ceylon Institute of Builders</t>
  </si>
  <si>
    <t>10.31705/WCS.2025.55</t>
  </si>
  <si>
    <t>https://www.scopus.com/inward/record.uri?eid=2-s2.0-105020825201&amp;doi=10.31705%2FWCS.2025.55&amp;partnerID=40&amp;md5=e479d9f28bf1331a7cdcef01ac7fc4c0</t>
  </si>
  <si>
    <t>289</t>
  </si>
  <si>
    <t>Fostering lithium-ion battery remanufacturing through Industry 5.0</t>
  </si>
  <si>
    <t>Neri, A; Butturi, MA; da Silva, LT; Lolli, F; Gamberini, R; Sellitto, MA</t>
  </si>
  <si>
    <t>INTERNATIONAL JOURNAL OF INTERACTIVE DESIGN AND MANUFACTURING - IJIDEM</t>
  </si>
  <si>
    <t>10.1007/s12008-025-02229-2</t>
  </si>
  <si>
    <t>http://dx.doi.org/10.1007/s12008-025-02229-2</t>
  </si>
  <si>
    <t>33</t>
  </si>
  <si>
    <t>French national overview of the inclusion of environmental criteria in the public purchasing of health products (drugs and sterile medical devices)</t>
  </si>
  <si>
    <t>Giraud, JS; Hamidou, F; Hassani, Y; Borel, C; Le Gonidec, P</t>
  </si>
  <si>
    <t>ANNALES PHARMACEUTIQUES FRANCAISES</t>
  </si>
  <si>
    <t>MASSON EDITEUR</t>
  </si>
  <si>
    <t>10.1016/j.pharma.2021.06.005</t>
  </si>
  <si>
    <t>http://dx.doi.org/10.1016/j.pharma.2021.06.005</t>
  </si>
  <si>
    <t>131</t>
  </si>
  <si>
    <t>From Local Actions to Global Impact: Overcoming Hurdles and Showcasing Sustainability Achievements in the Implementation of SDG12</t>
  </si>
  <si>
    <t>Hahladakis, JN</t>
  </si>
  <si>
    <t>10.3390/su17157106</t>
  </si>
  <si>
    <t>http://dx.doi.org/10.3390/su17157106</t>
  </si>
  <si>
    <t>98</t>
  </si>
  <si>
    <t>Green entrepreneurial orientation and green human capital: unlocking the potential of green supply chain integration through corporate environmental strategy</t>
  </si>
  <si>
    <t>Zhang, WC; Zhang, FJ; Cheng, Z</t>
  </si>
  <si>
    <t>HUMANITIES &amp; SOCIAL SCIENCES COMMUNICATIONS</t>
  </si>
  <si>
    <t>10.1057/s41599-025-04980-z</t>
  </si>
  <si>
    <t>http://dx.doi.org/10.1057/s41599-025-04980-z</t>
  </si>
  <si>
    <t>109</t>
  </si>
  <si>
    <t>GREEN PUBLIC PROCUREMENT AND TIMBER IN CONSTRUCTION FOR A CIRCULAR ECONOMY</t>
  </si>
  <si>
    <t>Barakzai, M.K.; Ahmed, M.Z.; O'Donoghue, C.; McGetrick, P.J.</t>
  </si>
  <si>
    <t>Proceedings from the 14th World Conference on Timber Engineering: Advancing Timber for the Future Built Environment, WCTE 2025</t>
  </si>
  <si>
    <t>World Conference on Timber Engineering (WCTE)</t>
  </si>
  <si>
    <t>10.52202/080513-0641</t>
  </si>
  <si>
    <t>https://www.scopus.com/inward/record.uri?eid=2-s2.0-105010237354&amp;doi=10.52202%2F080513-0641&amp;partnerID=40&amp;md5=d4e2005abdc928164d0a522a1dbe0826</t>
  </si>
  <si>
    <t>293</t>
  </si>
  <si>
    <t>Green public procurement criteria for road infrastructures: State of the art and proposal of a weighted sum multicriteria analysis to assessenvironmental impacts</t>
  </si>
  <si>
    <t>Moretti, L.; Di Mascio, P.; D'Andrea, A.</t>
  </si>
  <si>
    <t>ARPN Journal of Engineering and Applied Sciences</t>
  </si>
  <si>
    <t>Asian Research Publishing Network arpn@arpnjournals.com</t>
  </si>
  <si>
    <t>https://www.scopus.com/inward/record.uri?eid=2-s2.0-85029511642&amp;partnerID=40&amp;md5=5914969926a08eb20130241a42d4ab42</t>
  </si>
  <si>
    <t>352</t>
  </si>
  <si>
    <t>GREEN PUBLIC PROCUREMENT FOR A SUSTAINABLE PUBLIC ADMINISTRATION IN A RESILIENCE CONTEXT</t>
  </si>
  <si>
    <t>Crovella, T; Lagioia, G; Paiano, A</t>
  </si>
  <si>
    <t>ENVIRONMENTAL ENGINEERING AND MANAGEMENT JOURNAL</t>
  </si>
  <si>
    <t>GH ASACHI TECHNICAL UNIV IASI</t>
  </si>
  <si>
    <t>10.30638/eemj.2023.145</t>
  </si>
  <si>
    <t>http://dx.doi.org/10.30638/eemj.2023.145</t>
  </si>
  <si>
    <t>68</t>
  </si>
  <si>
    <t>Guidance on how to balance the purchasing environment and processes to save resources - a validity examination of a holistic model</t>
  </si>
  <si>
    <t>Wittinger, MM; Demeter, K</t>
  </si>
  <si>
    <t>TAYLOR &amp; FRANCIS AS</t>
  </si>
  <si>
    <t>10.1080/23311975.2024.2374883</t>
  </si>
  <si>
    <t>http://dx.doi.org/10.1080/23311975.2024.2374883</t>
  </si>
  <si>
    <t>123</t>
  </si>
  <si>
    <t>Health Care Professionals' Experiences and Views of eHealth in Pediatric Care: Qualitative Interview Study Applying a Theoretical Framework for Implementation</t>
  </si>
  <si>
    <t>Castor, C; Lindkvist, RM; Hallstrom, IK; Holmberg, R</t>
  </si>
  <si>
    <t>JMIR PEDIATRICS AND PARENTING</t>
  </si>
  <si>
    <t>JMIR PUBLICATIONS, INC</t>
  </si>
  <si>
    <t>10.2196/47663</t>
  </si>
  <si>
    <t>http://dx.doi.org/10.2196/47663</t>
  </si>
  <si>
    <t>144</t>
  </si>
  <si>
    <t>How Public Procurement Policies Influence Sustainable Development Goals in Developing Countries: A Case Study in Vietnam</t>
  </si>
  <si>
    <t>Nguyen, T.Q.; van Vu, T.</t>
  </si>
  <si>
    <t>Lentera Hukum</t>
  </si>
  <si>
    <t>University of Jember</t>
  </si>
  <si>
    <t>10.19184/ejlh.v12i2.53766</t>
  </si>
  <si>
    <t>https://www.scopus.com/inward/record.uri?eid=2-s2.0-105019799448&amp;doi=10.19184%2Fejlh.v12i2.53766&amp;partnerID=40&amp;md5=b297d826eaadabb6c592a1a711804c45</t>
  </si>
  <si>
    <t>275</t>
  </si>
  <si>
    <t>Human Toxicity of Building Materials and the Application of the Taxonomy Principle in Green Public Procurement: The Life Cycle Assessment as a Tool</t>
  </si>
  <si>
    <t>Rey-Álvarez, B.; Sánchez-Montañés, B.; Roberts, M.; Garcia-Martinez, A.</t>
  </si>
  <si>
    <t>Circular Economy and Sustainability</t>
  </si>
  <si>
    <t>Springer Nature</t>
  </si>
  <si>
    <t>10.1007/s43615-025-00637-w</t>
  </si>
  <si>
    <t>https://www.scopus.com/inward/record.uri?eid=2-s2.0-105008479458&amp;doi=10.1007%2Fs43615-025-00637-w&amp;partnerID=40&amp;md5=004befad9c9c379d1b6e64161ac954ec</t>
  </si>
  <si>
    <t>269</t>
  </si>
  <si>
    <t>Impact Analysis of Different Recycling Pathways for Lithium-Containing Waste on the Carbon Footprint of Products with Recycled Lithium</t>
  </si>
  <si>
    <t>Xu, F; Fang, K; Xiang, D; Chen, GP</t>
  </si>
  <si>
    <t>10.3390/su172410886</t>
  </si>
  <si>
    <t>http://dx.doi.org/10.3390/su172410886</t>
  </si>
  <si>
    <t>Implementing sustainable purchasing and supply management (SPSM): A Delphi study on competences needed by purchasing and supply management (PSM) professionals</t>
  </si>
  <si>
    <t>Schulze, H; Bals, L</t>
  </si>
  <si>
    <t>JOURNAL OF PURCHASING AND SUPPLY MANAGEMENT</t>
  </si>
  <si>
    <t>10.1016/j.pursup.2020.100625</t>
  </si>
  <si>
    <t>http://dx.doi.org/10.1016/j.pursup.2020.100625</t>
  </si>
  <si>
    <t>112</t>
  </si>
  <si>
    <t>Improving Electronic Public Procurement Using the Once-Only Principle</t>
  </si>
  <si>
    <t>Douloudis, KP; Siapera, MD; Prentza, AA</t>
  </si>
  <si>
    <t>14TH INTERNATIONAL CONFERENCE ON THEORY AND PRACTICE OF ELECTRONIC GOVERNANCE (ICEGOV 2021)</t>
  </si>
  <si>
    <t>ASSOC COMPUTING MACHINERY</t>
  </si>
  <si>
    <t>10.1145/3494193.3494226</t>
  </si>
  <si>
    <t>http://dx.doi.org/10.1145/3494193.3494226</t>
  </si>
  <si>
    <t>464</t>
  </si>
  <si>
    <t>Information services and development of effective urban management</t>
  </si>
  <si>
    <t>Leontieva, L.S.; Maksimov, D.A.; Kurbanov, S.A.; Afanasyev, I.V.; Mel′nikova, T.E.; Rezakov, R.G.</t>
  </si>
  <si>
    <t>International Journal of Civil Engineering and Technology</t>
  </si>
  <si>
    <t>IAEME Publication iaemedu@gmail.com</t>
  </si>
  <si>
    <t>https://www.scopus.com/inward/record.uri?eid=2-s2.0-85058047045&amp;partnerID=40&amp;md5=b5d08501771b595d73fffa1b493757ae</t>
  </si>
  <si>
    <t>346</t>
  </si>
  <si>
    <t>Information Systems: The Relief Valve for Project Management Tailoring in Public Procurement</t>
  </si>
  <si>
    <t>Rebuglio, M.; Ottaviani, F.M.; Mendez, L.O.; Carlin, A.; De Marco, A.</t>
  </si>
  <si>
    <t>10.1007/978-3-032-12879-9_44</t>
  </si>
  <si>
    <t>https://www.scopus.com/inward/record.uri?eid=2-s2.0-105027592828&amp;doi=10.1007%2F978-3-032-12879-9_44&amp;partnerID=40&amp;md5=b4352460892dc6ad2d75c9cdfea49246</t>
  </si>
  <si>
    <t>266</t>
  </si>
  <si>
    <t>Inhibiting Factors to the Implementation of Preferential Procurement Policy in the South African Construction Industry</t>
  </si>
  <si>
    <t>Tau, LJ; Ogunbayo, BF; Aigbavboa, CO</t>
  </si>
  <si>
    <t>10.3390/buildings14082392</t>
  </si>
  <si>
    <t>http://dx.doi.org/10.3390/buildings14082392</t>
  </si>
  <si>
    <t>116</t>
  </si>
  <si>
    <t>Innovation through the EIA tender: a case of Copenhagen metro and the SDGs</t>
  </si>
  <si>
    <t>Boess, ER; Kornov, L; Jensen, JU</t>
  </si>
  <si>
    <t>IMPACT ASSESSMENT AND PROJECT APPRAISAL</t>
  </si>
  <si>
    <t>10.1080/14615517.2024.2359805</t>
  </si>
  <si>
    <t>http://dx.doi.org/10.1080/14615517.2024.2359805</t>
  </si>
  <si>
    <t>Integrated pollination traceability system for data sharing and transparency</t>
  </si>
  <si>
    <t>Baniya, A.A.; Murphy, K.; Williams, S.</t>
  </si>
  <si>
    <t>Acta Horticulturae</t>
  </si>
  <si>
    <t>International Society for Horticultural Science</t>
  </si>
  <si>
    <t>10.17660/ActaHortic.2024.1395.32</t>
  </si>
  <si>
    <t>https://www.scopus.com/inward/record.uri?eid=2-s2.0-85195695292&amp;doi=10.17660%2FActaHortic.2024.1395.32&amp;partnerID=40&amp;md5=96d8a31fb24b73ddbf75f8b0cbb64b3b</t>
  </si>
  <si>
    <t>229</t>
  </si>
  <si>
    <t>Integrated system for design and products quality control based on additive technologies for high-tech industries</t>
  </si>
  <si>
    <t>T. B. Chistyakova; A. N. Polosin; I. V. Novozhilova</t>
  </si>
  <si>
    <t>2017 IEEE VI Forum Strategic Partnership of Universities and Enterprises of Hi-Tech Branches (Science. Education. Innovations) (SPUE)</t>
  </si>
  <si>
    <t>10.1109/IVForum.2017.8246045</t>
  </si>
  <si>
    <t>https://ieeexplore.ieee.org/stamp/stamp.jsp?arnumber=8246045</t>
  </si>
  <si>
    <t>411</t>
  </si>
  <si>
    <t>Integrating aquaponics production systems into the Romanian green procurement network</t>
  </si>
  <si>
    <t>Costache, M; Cristea, DS; Petrea, SM; Neculita, M; Rahoveanu, MMT; Simionov, IA; Mogodan, A; Sarpe, D; Rahoveanu, AT</t>
  </si>
  <si>
    <t>LAND USE POLICY</t>
  </si>
  <si>
    <t>10.1016/j.landusepol.2021.105531</t>
  </si>
  <si>
    <t>http://dx.doi.org/10.1016/j.landusepol.2021.105531</t>
  </si>
  <si>
    <t>137</t>
  </si>
  <si>
    <t>Integrating Circular Economy Practices in Aviation: Requirements Analysis for the Exchange of Material and Product Information to improve Circularity in the Aviation Industry</t>
  </si>
  <si>
    <t>Wiesner, M.; Mügge, J.; Steiner, J.; Klumski, J.; Riedelsheimer, T.; Lindow, D.-I.K.</t>
  </si>
  <si>
    <t>10.1016/j.procir.2025.08.080</t>
  </si>
  <si>
    <t>https://www.scopus.com/inward/record.uri?eid=2-s2.0-105015303495&amp;doi=10.1016%2Fj.procir.2025.08.080&amp;partnerID=40&amp;md5=5b6926e3414f73b5a7e85b4d83501443</t>
  </si>
  <si>
    <t>201</t>
  </si>
  <si>
    <t>Integrating cleantech into innovative public procurement process – evidence and success factors</t>
  </si>
  <si>
    <t>Parikka-Alhola, K.; Nissinen, A.</t>
  </si>
  <si>
    <t>Journal of Public Procurement</t>
  </si>
  <si>
    <t>Emerald Group Publishing Ltd. Howard House Wagon Lane, Bingley BD16 1WA</t>
  </si>
  <si>
    <t>10.1108/JOPP-11-2018-020</t>
  </si>
  <si>
    <t>https://www.scopus.com/inward/record.uri?eid=2-s2.0-85057995553&amp;doi=10.1108%2FJOPP-11-2018-020&amp;partnerID=40&amp;md5=ea4ea5d6a1f80354302f303a805c1695</t>
  </si>
  <si>
    <t>345</t>
  </si>
  <si>
    <t>Integrating environmental considerations in digital health technology assessment and procurement: Stakeholders' perspectives</t>
  </si>
  <si>
    <t>Alami, H; Rivard, L; Lehoux, P; Ahmed, MAA; Fortin, JP; Fleet, R</t>
  </si>
  <si>
    <t>DIGITAL HEALTH</t>
  </si>
  <si>
    <t>SAGE PUBLICATIONS LTD</t>
  </si>
  <si>
    <t>10.1177/20552076231219113</t>
  </si>
  <si>
    <t>http://dx.doi.org/10.1177/20552076231219113</t>
  </si>
  <si>
    <t>99</t>
  </si>
  <si>
    <t>Integrating Sustainability Factors into the Public Procurement Process in Construction Industry</t>
  </si>
  <si>
    <t>Gunawardana, K.A.P.; Sandanayake, Y.G.; Karunasena, G.; Jayawickrama, T.S.</t>
  </si>
  <si>
    <t>IEOM Society</t>
  </si>
  <si>
    <t>https://www.scopus.com/inward/record.uri?eid=2-s2.0-85125889698&amp;partnerID=40&amp;md5=8daf963cf8699ffd7569a5e87e26c94d</t>
  </si>
  <si>
    <t>331</t>
  </si>
  <si>
    <t>Integration of life cycle data in a BIM object library to support green and digital public procurements</t>
  </si>
  <si>
    <t>Barbini, A.; Malacarne, G.; Romagnoli, K.; Massari, G.A.; Matt, D.T.</t>
  </si>
  <si>
    <t>International Journal of Sustainable Development and Planning</t>
  </si>
  <si>
    <t>International Information and Engineering Technology Association</t>
  </si>
  <si>
    <t>10.18280/IJSDP.150702</t>
  </si>
  <si>
    <t>https://www.scopus.com/inward/record.uri?eid=2-s2.0-85096943803&amp;doi=10.18280%2FIJSDP.150702&amp;partnerID=40&amp;md5=ed1194482709631bc3d5b9a2216158fe</t>
  </si>
  <si>
    <t>333</t>
  </si>
  <si>
    <t>Interchange of economic data throughout the life cycle of building facilities in public procurement environments</t>
  </si>
  <si>
    <t>Salvado, F; Almeida, N; Azevedo, AVE</t>
  </si>
  <si>
    <t>LIFE-CYCLE ANALYSIS AND ASSESSMENT IN CIVIL ENGINEERING: TOWARDS AN INTEGRATED VISION</t>
  </si>
  <si>
    <t>CRC PRESS-TAYLOR &amp; FRANCIS GROUP</t>
  </si>
  <si>
    <t>71</t>
  </si>
  <si>
    <t>Investigation of net metering as a tool for increasing electricity access in developing countries</t>
  </si>
  <si>
    <t>Azimoh, CL; Dzobo, O; Mbohwa, C</t>
  </si>
  <si>
    <t>2017 IEEE ELECTRICAL POWER AND ENERGY CONFERENCE (EPEC)</t>
  </si>
  <si>
    <t>127</t>
  </si>
  <si>
    <t>Large-scale analysis of environmental and circularity metrics in construction products through automated data extraction using large language models</t>
  </si>
  <si>
    <t>Roger Vergés and Kàtia Gaspar and Núria Forcada</t>
  </si>
  <si>
    <t>Environmental Impact Assessment Review</t>
  </si>
  <si>
    <t>10.1016/j.eiar.2025.108243</t>
  </si>
  <si>
    <t>https://doi.org/10.1016/j.eiar.2025.108243</t>
  </si>
  <si>
    <t>444</t>
  </si>
  <si>
    <t>Legal regime stimulating economic activities: Convergence of Ukrainian legislation with EU law based on SDGs</t>
  </si>
  <si>
    <t>Kurepina, O</t>
  </si>
  <si>
    <t>AMAZONIA INVESTIGA</t>
  </si>
  <si>
    <t>Editorial Primmate</t>
  </si>
  <si>
    <t>10.34069/AI/2023.70.10.3</t>
  </si>
  <si>
    <t>http://dx.doi.org/10.34069/AI/2023.70.10.3</t>
  </si>
  <si>
    <t>74</t>
  </si>
  <si>
    <t>Leveraging Life Cycle Assessment Data in Digital Battery Passports to Enhance Sustainability in Automotive Marketplaces</t>
  </si>
  <si>
    <t>Fumagalli, L; Badalotti, F; Fattarelli, C; Perossa, D; La Rosa, AD</t>
  </si>
  <si>
    <t>10.1016/j.ifacol.2025.09.415</t>
  </si>
  <si>
    <t>http://dx.doi.org/10.1016/j.ifacol.2025.09.415</t>
  </si>
  <si>
    <t>46</t>
  </si>
  <si>
    <t>Levers for Sustainable Food System Transformation: How to Foster Biodiversity and Organic and Local Food Through Public Catering</t>
  </si>
  <si>
    <t>Bückart-Neufeld, C.; Bürker, F.; Hoinle, B.</t>
  </si>
  <si>
    <t>Urban Planning</t>
  </si>
  <si>
    <t>Cogitatio Press</t>
  </si>
  <si>
    <t>10.17645/up.9676</t>
  </si>
  <si>
    <t>https://www.scopus.com/inward/record.uri?eid=2-s2.0-105014929779&amp;doi=10.17645%2Fup.9676&amp;partnerID=40&amp;md5=5292bca32fdc8511debd08ecf8df1411</t>
  </si>
  <si>
    <t>291</t>
  </si>
  <si>
    <t>Magnetic Supraparticles as Identifiers in Single-Layer Lithium-Ion Battery Pouch Cells</t>
  </si>
  <si>
    <t>Li Deuso, S; Ziegler, S; Weber, D; Breuer, F; Haddad, D; Müssig, S; Flegler, A; Giffin, GA; Mandel, K</t>
  </si>
  <si>
    <t>CHEMSUSCHEM</t>
  </si>
  <si>
    <t>WILEY-V C H VERLAG GMBH</t>
  </si>
  <si>
    <t>10.1002/cssc.202401142</t>
  </si>
  <si>
    <t>http://dx.doi.org/10.1002/cssc.202401142</t>
  </si>
  <si>
    <t>27</t>
  </si>
  <si>
    <t>Management green commitment barriers to green supplier selection: the missing link towards a green intellectual capital</t>
  </si>
  <si>
    <t>Ograh, T; Ayarkwa, J; Acheampong, A</t>
  </si>
  <si>
    <t>INTERNATIONAL JOURNAL OF LOGISTICS MANAGEMENT</t>
  </si>
  <si>
    <t>10.1108/IJLM-01-2025-0013</t>
  </si>
  <si>
    <t>http://dx.doi.org/10.1108/IJLM-01-2025-0013</t>
  </si>
  <si>
    <t>119</t>
  </si>
  <si>
    <t>METHODOLOGICAL PERSPECTIVE OF EVALUATION OF GREEN PUBLIC PROCUREMENT</t>
  </si>
  <si>
    <t>Pelsa, I; Balina, S</t>
  </si>
  <si>
    <t>NEW CHALLENGES IN ECONOMIC AND BUSINESS DEVELOPMENT - 2020: ECONOMIC INEQUALITY AND WELL-BEING</t>
  </si>
  <si>
    <t>UNIV LATVIA</t>
  </si>
  <si>
    <t>60</t>
  </si>
  <si>
    <t>Mobility as an Economic Service of General Interest: The Current EU’s Legal Framework and the Challenges Ahead</t>
  </si>
  <si>
    <t>Damin, F.</t>
  </si>
  <si>
    <t>European Business Law Review</t>
  </si>
  <si>
    <t>Kluwer Law International</t>
  </si>
  <si>
    <t>10.54648/eulr2023005</t>
  </si>
  <si>
    <t>https://www.scopus.com/inward/record.uri?eid=2-s2.0-85148572031&amp;doi=10.54648%2Feulr2023005&amp;partnerID=40&amp;md5=35865eb33229fabf2fa3c5c9921e3ce5</t>
  </si>
  <si>
    <t>319</t>
  </si>
  <si>
    <t>MODELING OF REALIZATION OF EDUCATIONAL PROGRAMS IN THE NETWORK FORM OF INTERACTION</t>
  </si>
  <si>
    <t>Averina, LV; Klimuk, VV; Pecherskaya, EP; Polynova, LV</t>
  </si>
  <si>
    <t>GCPMED 2018 - INTERNATIONAL SCIENTIFIC CONFERENCE GLOBAL CHALLENGES AND PROSPECTS OF THE MODERN ECONOMIC DEVELOPMENT</t>
  </si>
  <si>
    <t>FUTURE ACAD</t>
  </si>
  <si>
    <t>10.15405/epsbs.2019.03.166</t>
  </si>
  <si>
    <t>http://dx.doi.org/10.15405/epsbs.2019.03.166</t>
  </si>
  <si>
    <t>138</t>
  </si>
  <si>
    <t>Modeling the determinants of circular procurement adoption for sustainable construction: a fuzzy logic-based evaluation approach</t>
  </si>
  <si>
    <t>Ababio, BK; Lu, WS</t>
  </si>
  <si>
    <t>ENGINEERING CONSTRUCTION AND ARCHITECTURAL MANAGEMENT</t>
  </si>
  <si>
    <t>10.1108/ECAM-08-2024-1077</t>
  </si>
  <si>
    <t>http://dx.doi.org/10.1108/ECAM-08-2024-1077</t>
  </si>
  <si>
    <t>90</t>
  </si>
  <si>
    <t>Modeling the Impact of Low-Carbon Procurement on Bidding Dynamics</t>
  </si>
  <si>
    <t>Jezzini, Y; Assaad, RH</t>
  </si>
  <si>
    <t>JOURNAL OF MANAGEMENT IN ENGINEERING</t>
  </si>
  <si>
    <t>ASCE-AMER SOC CIVIL ENGINEERS</t>
  </si>
  <si>
    <t>10.1061/JMENEA.MEENG-5997</t>
  </si>
  <si>
    <t>http://dx.doi.org/10.1061/JMENEA.MEENG-5997</t>
  </si>
  <si>
    <t>94</t>
  </si>
  <si>
    <t>Multidimensionality of Sustainable Public Procurement (SPP)-Exploring Concepts and Effects in Sub-Saharan Africa and Europe</t>
  </si>
  <si>
    <t>Stoffel, T; Cravero, C; La Chimia, A; Quinot, G</t>
  </si>
  <si>
    <t>10.3390/su11226352</t>
  </si>
  <si>
    <t>http://dx.doi.org/10.3390/su11226352</t>
  </si>
  <si>
    <t>64</t>
  </si>
  <si>
    <t>Navigating the Future Integrating Safety Passports for Enhanced Product Implementation on Machinery - Conceptualization and Use Case</t>
  </si>
  <si>
    <t>Saliger, A; Grafinger, M</t>
  </si>
  <si>
    <t>PRODUCT LIFECYCLE MANAGEMENT. LEVERAGING AI, DIGITAL TWINS, AND SMART TECHNOLOGIES, PLM 2024, PT II</t>
  </si>
  <si>
    <t>10.1007/978-3-031-93323-3_24</t>
  </si>
  <si>
    <t>http://dx.doi.org/10.1007/978-3-031-93323-3_24</t>
  </si>
  <si>
    <t>39</t>
  </si>
  <si>
    <t>New IEC standardization framework of environmental aspects needs to be supported by the digital transformation</t>
  </si>
  <si>
    <t>T. Cormenier; R. Thai; T. Hiruta; M. Ferguson; F. Trichon</t>
  </si>
  <si>
    <t>28th International Conference and Exhibition on Electricity Distribution (CIRED 2025)</t>
  </si>
  <si>
    <t>IET</t>
  </si>
  <si>
    <t>10.1049/icp.2025.1720</t>
  </si>
  <si>
    <t>https://ieeexplore.ieee.org/stamp/stamp.jsp?arnumber=11238148</t>
  </si>
  <si>
    <t>404</t>
  </si>
  <si>
    <t>Obtaining reliable solutions through analytical hierarchy process (AHP) and architecture of integrated information systems (ARIS) for a renewable energy project</t>
  </si>
  <si>
    <t>Diaconescu, A.; Proştean, G.; Tǎmǎşilǎ, M.</t>
  </si>
  <si>
    <t>Proceedings of the 32nd International Business Information Management Association Conference, IBIMA 2018 - Vision 2020: Sustainable Economic Development and Application of Innovation Management from Regional expansion to Global Growth</t>
  </si>
  <si>
    <t>International Business Information Management Association, IBIMA admin@ibima.org</t>
  </si>
  <si>
    <t>https://www.scopus.com/inward/record.uri?eid=2-s2.0-85063053676&amp;partnerID=40&amp;md5=9f339c64feac13b725c140de782fe0e4</t>
  </si>
  <si>
    <t>350</t>
  </si>
  <si>
    <t>Optimising Public Procurement Through Circular Practice: The Power of Intermediation</t>
  </si>
  <si>
    <t>Vanacore, E; Giné, LF; Hunka, AD</t>
  </si>
  <si>
    <t>JOURNAL OF CIRCULAR ECONOMY</t>
  </si>
  <si>
    <t>ROSKILDE UNIV</t>
  </si>
  <si>
    <t>10.55845/GXGR4467</t>
  </si>
  <si>
    <t>http://dx.doi.org/10.55845/GXGR4467</t>
  </si>
  <si>
    <t>59</t>
  </si>
  <si>
    <t>OPTIMIZATION OF TRANSPORT OUTPUTS FOR THE SAKE OF PUBLIC INTEREST</t>
  </si>
  <si>
    <t>Dubovec, J; Pancíková, L</t>
  </si>
  <si>
    <t>PROCEEDINGS OF THE INTERNATIONAL CONFERENCE: QUANTITATIVE METHODS IN ECONOMICS: MULTIPLE CRITERIA DECISION MAKING XVIII</t>
  </si>
  <si>
    <t>LETRA INTERACTIVE, SRO</t>
  </si>
  <si>
    <t>115</t>
  </si>
  <si>
    <t>Policy on Timber Legality Verification System for Sustainable Public Procurement and Green Products</t>
  </si>
  <si>
    <t>Tuharno, T.; Purnaweni, H.; Muhammad, F.</t>
  </si>
  <si>
    <t>E3S Web of Conferences</t>
  </si>
  <si>
    <t>EDP Sciences</t>
  </si>
  <si>
    <t>10.1051/e3sconf/201912510001</t>
  </si>
  <si>
    <t>https://www.scopus.com/inward/record.uri?eid=2-s2.0-85075256508&amp;doi=10.1051%2Fe3sconf%2F201912510001&amp;partnerID=40&amp;md5=5edf79869ceb514f874f1dcff1516365</t>
  </si>
  <si>
    <t>342</t>
  </si>
  <si>
    <t>Portuguese public procurement governance model</t>
  </si>
  <si>
    <t>da Rosa, I.; Tribolet, J.; Mira da Silva, M.M.</t>
  </si>
  <si>
    <t>Atas da Conferencia da Associacao Portuguesa de Sistemas de Informacao</t>
  </si>
  <si>
    <t>Associacao Portuguesa de Sistemas de Informacao iramos@dsi.uminho.pt</t>
  </si>
  <si>
    <t>10.18803/capsi.v15.529-554</t>
  </si>
  <si>
    <t>https://www.scopus.com/inward/record.uri?eid=2-s2.0-85047222235&amp;doi=10.18803%2Fcapsi.v15.529-554&amp;partnerID=40&amp;md5=2dd01a9934bc0a6487c80c964b2ee28c</t>
  </si>
  <si>
    <t>358</t>
  </si>
  <si>
    <t>POTENTIAL FOR DIGITAL TECHNOLOGIES AND ADDITIVE MANUFACTURING TO SUPPORT LEAN MANUFACTURING AND CIRCULAR ECONOMY SYNERGIES</t>
  </si>
  <si>
    <t>Hassan, H; Chatterjee, A; Bushagour, A; Layton, A</t>
  </si>
  <si>
    <t>PROCEEDINGS OF ASME 2025 INTERNATIONAL DESIGN ENGINEERING TECHNICAL CONFERENCES AND COMPUTERS AND INFORMATION IN ENGINEERING CONFERENCE, IDETC-CIE2025, VOL 2A</t>
  </si>
  <si>
    <t>AMER SOC MECHANICAL ENGINEERS</t>
  </si>
  <si>
    <t>49</t>
  </si>
  <si>
    <t>PUBLIC FOOD PROCUREMENT - A TOOL FOR A SUSTAINABLE ECONOMY DEVELOPMENT IN RURAL AREAS</t>
  </si>
  <si>
    <t>Dobrota, EM; Saracu, AF</t>
  </si>
  <si>
    <t>SCIENTIFIC PAPERS-SERIES MANAGEMENT ECONOMIC ENGINEERING IN AGRICULTURE AND RURAL DEVELOPMENT</t>
  </si>
  <si>
    <t>UNIV AGRONOMIC SCIENCES &amp; VETERINARY MEDICINE BUCHAREST - USAMV</t>
  </si>
  <si>
    <t>61</t>
  </si>
  <si>
    <t>Public Procurement and the Social and Solidarity Economy in Ecuador; La contratación pública y la economía social y solidaria en Ecuador</t>
  </si>
  <si>
    <t>Benavides, M.K.L.</t>
  </si>
  <si>
    <t>Foro: Revista de Derecho</t>
  </si>
  <si>
    <t>Universidad Andina Simon Olivar, Sede Ecuador</t>
  </si>
  <si>
    <t>10.32719/26312484.2025.43.6</t>
  </si>
  <si>
    <t>https://www.scopus.com/inward/record.uri?eid=2-s2.0-85217632592&amp;doi=10.32719%2F26312484.2025.43.6&amp;partnerID=40&amp;md5=0a2725a141d93666234d93d23a030103</t>
  </si>
  <si>
    <t>285</t>
  </si>
  <si>
    <t>Public Procurement, Regional Integration, and the Belt and Road Initiative</t>
  </si>
  <si>
    <t>Ghossein, T; Hoekman, B; Shingal, A</t>
  </si>
  <si>
    <t>WORLD BANK RESEARCH OBSERVER</t>
  </si>
  <si>
    <t>OXFORD UNIV PRESS</t>
  </si>
  <si>
    <t>10.1093/wbro/Ikab004</t>
  </si>
  <si>
    <t>http://dx.doi.org/10.1093/wbro/Ikab004</t>
  </si>
  <si>
    <t>70</t>
  </si>
  <si>
    <t>Radio Frequency Identification: Decades at a Time</t>
  </si>
  <si>
    <t>Saetia, C; Dobkin, DM; Durgin, GD</t>
  </si>
  <si>
    <t>IEEE JOURNAL OF RADIO FREQUENCY IDENTIFICATION</t>
  </si>
  <si>
    <t>10.1109/JRFID.2025.3633612</t>
  </si>
  <si>
    <t>http://dx.doi.org/10.1109/JRFID.2025.3633612</t>
  </si>
  <si>
    <t>51</t>
  </si>
  <si>
    <t>Reintegration Post-Brexit (2020-2022): European Union Reorganization - Securing The Public Square of Democracy; Creating a New Global Compact</t>
  </si>
  <si>
    <t>O'Rourke, K.A.C.</t>
  </si>
  <si>
    <t>European Studies: The Review of European Law, Economics and Politics</t>
  </si>
  <si>
    <t>Sciendo</t>
  </si>
  <si>
    <t>10.2478/eustu-2022-0028</t>
  </si>
  <si>
    <t>https://www.scopus.com/inward/record.uri?eid=2-s2.0-85154051882&amp;doi=10.2478%2Feustu-2022-0028&amp;partnerID=40&amp;md5=15a3374b92437088531f172b151315f7</t>
  </si>
  <si>
    <t>339</t>
  </si>
  <si>
    <t>Self-Sovereign Identity of Things (SSIoT): Digital Identities for Circular Construction Supply Chains</t>
  </si>
  <si>
    <t>Byers, B.S.; Eeva, V.; Hall, D.M.; De Wolf, C.</t>
  </si>
  <si>
    <t>Computing in Civil Engineering 2024: Sustainability, Resilience, Safety, and Education - Selected papers from the ASCE International Conference on Computing in Civil Engineering 2024</t>
  </si>
  <si>
    <t>American Society of Civil Engineers (ASCE)</t>
  </si>
  <si>
    <t>10.1061/9780784486139.040</t>
  </si>
  <si>
    <t>https://www.scopus.com/inward/record.uri?eid=2-s2.0-105025139668&amp;doi=10.1061%2F9780784486139.040&amp;partnerID=40&amp;md5=5f5b5be52ed59325af1044a869ca5ca9</t>
  </si>
  <si>
    <t>252</t>
  </si>
  <si>
    <t>SOCIAL INNOVATIONS IN THE EDUCATIONAL SPACE AS A DRIVER OF ECONOMIC DEVELOPMENT OF MODERN SOCIETY</t>
  </si>
  <si>
    <t>Sysoieva, I; Pozniakovska, N; Balaziuk, O; Miklukha, O; Akimova, L; Pohrishchuk, B</t>
  </si>
  <si>
    <t>FINANCIAL AND CREDIT ACTIVITY-PROBLEMS OF THEORY AND PRACTICE</t>
  </si>
  <si>
    <t>BANKING UNIV</t>
  </si>
  <si>
    <t>134</t>
  </si>
  <si>
    <t>SPACE_DS: Towards a Circular Economy Data Space</t>
  </si>
  <si>
    <t>Pomp, Andr\'{e} and Jansen, Maike and Berg, Holger and Meisen, Tobias</t>
  </si>
  <si>
    <t>Companion Proceedings of the ACM Web Conference 2023</t>
  </si>
  <si>
    <t>10.1145/3543873.3587685</t>
  </si>
  <si>
    <t>https://doi.org/10.1145/3543873.3587685</t>
  </si>
  <si>
    <t>416</t>
  </si>
  <si>
    <t>Stakeholder perceptions of drivers for, and barriers to, the incorporation of sustainability in PPP infrastructure projects in Nigeria</t>
  </si>
  <si>
    <t>Babatunde, SO; Ekundayo, D; Udcaja, C; Abubakar, UO</t>
  </si>
  <si>
    <t>OPEN HOUSE INTERNATIONAL-SUSTAINABLE &amp; SMART ARCHITECTURE AND URBAN STUDIES</t>
  </si>
  <si>
    <t>10.1108/OHI-05-2020-0037</t>
  </si>
  <si>
    <t>http://dx.doi.org/10.1108/OHI-05-2020-0037</t>
  </si>
  <si>
    <t>121</t>
  </si>
  <si>
    <t>STATE POLICY OF UKRAINE’S EUROPEAN INTEGRATION AND ITS IMPACT ON THE INNOVATIVE DEVELOPMENT OF SOCIAL ENTREPRENEURSHIP; UKRAINOS VALSTYBĖS EUROPOS INTEGRACIJOS POLITIKA IR JOS POVEIKIS INOVATYVIAI SOCIALINIO VERSLUMO PLĖTRAI</t>
  </si>
  <si>
    <t>Komakha, L.; Gura, V.</t>
  </si>
  <si>
    <t>Public Policy and Administration</t>
  </si>
  <si>
    <t>Mykolo Romerio Universitetas</t>
  </si>
  <si>
    <t>10.13165/VPA-25-24-2-07</t>
  </si>
  <si>
    <t>https://www.scopus.com/inward/record.uri?eid=2-s2.0-105010355040&amp;doi=10.13165%2FVPA-25-24-2-07&amp;partnerID=40&amp;md5=c71db663043046eb9dcddeec974ba286</t>
  </si>
  <si>
    <t>292</t>
  </si>
  <si>
    <t>Strategic menu optimization could reduce carbon emissions and saturated fat consumption: a simulation modelling study of UK hospital inpatient meals</t>
  </si>
  <si>
    <t>Flynn, AN; Takahashi, T; Brunstrom, JM</t>
  </si>
  <si>
    <t>PHILOSOPHICAL TRANSACTIONS OF THE ROYAL SOCIETY B-BIOLOGICAL SCIENCES</t>
  </si>
  <si>
    <t>ROYAL SOC</t>
  </si>
  <si>
    <t>10.1098/rstb.2024.0152</t>
  </si>
  <si>
    <t>http://dx.doi.org/10.1098/rstb.2024.0152</t>
  </si>
  <si>
    <t>128</t>
  </si>
  <si>
    <t>Sustainability Design Principles: The Greening of an Organization</t>
  </si>
  <si>
    <t>Baskerville, R.; Pries-Heje, J.</t>
  </si>
  <si>
    <t>Proceedings of the Annual Hawaii International Conference on System Sciences</t>
  </si>
  <si>
    <t>10.24251/hicss.2025.702</t>
  </si>
  <si>
    <t>https://www.scopus.com/inward/record.uri?eid=2-s2.0-105005154756&amp;doi=10.24251%2Fhicss.2025.702&amp;partnerID=40&amp;md5=0a8759809069f3617c013ae71c3468fb</t>
  </si>
  <si>
    <t>VHB WI proceedings 2024</t>
  </si>
  <si>
    <t>294</t>
  </si>
  <si>
    <t>Sustainable Collaborative Governance in Supply Chain</t>
  </si>
  <si>
    <t>Wang, JG; Ran, B</t>
  </si>
  <si>
    <t>10.3390/su10010171</t>
  </si>
  <si>
    <t>http://dx.doi.org/10.3390/su10010171</t>
  </si>
  <si>
    <t>113</t>
  </si>
  <si>
    <t>SUSTAINABLE DEVELOPMENT OF THE AGRICULTURAL SECTOR IN THE CARPATHIAN REGION: EUROPEAN EXPERIENCE AND UKRAINIAN REALITIES</t>
  </si>
  <si>
    <t>Hadzalo, A; Palenychak, O; Shorskyi, P</t>
  </si>
  <si>
    <t>10.30525/2256-0742/2025-11-5-214-222</t>
  </si>
  <si>
    <t>http://dx.doi.org/10.30525/2256-0742/2025-11-5-214-222</t>
  </si>
  <si>
    <t>91</t>
  </si>
  <si>
    <t>Synthetic Textual Data Generation: A Few-Shot Learning-Based Approach for DPPs with Novel Metrics</t>
  </si>
  <si>
    <t>A. M. Esfar-E-Alam; A. Taherkordi</t>
  </si>
  <si>
    <t>2025 IEEE 8th International Conference on Industrial Cyber-Physical Systems (ICPS)</t>
  </si>
  <si>
    <t>10.1109/ICPS65515.2025.11087836</t>
  </si>
  <si>
    <t>https://ieeexplore.ieee.org/stamp/stamp.jsp?arnumber=11087836</t>
  </si>
  <si>
    <t>397</t>
  </si>
  <si>
    <t>The application of Minimum Environmental Criteria (CAMs) construction and sustainable transformation of public building stock</t>
  </si>
  <si>
    <t>Valitutti, A; Perricone, SR</t>
  </si>
  <si>
    <t>WORLD HERITAGE AND LEGACY: CULTURE, CREATIVITY, CONTAMINATION</t>
  </si>
  <si>
    <t>GANGEMI EDITORE S P A</t>
  </si>
  <si>
    <t>105</t>
  </si>
  <si>
    <t>The Challenge of Introducing Sustainability-Oriented Innovation-An Ethnographic Study</t>
  </si>
  <si>
    <t>Sliwinska, I; Benko, P; Breuer, H; Ciesielska, M; Ivanov, K; Kasz, J; Matras-Postolek, K</t>
  </si>
  <si>
    <t>SUSTAINABLE DEVELOPMENT</t>
  </si>
  <si>
    <t>10.1002/sd.3332</t>
  </si>
  <si>
    <t>http://dx.doi.org/10.1002/sd.3332</t>
  </si>
  <si>
    <t>107</t>
  </si>
  <si>
    <t>The Implementation of Information Architecture Framework to Support Sustainable Procurement</t>
  </si>
  <si>
    <t>Akashah, PAE; Aziz, N; Sugathan, SK</t>
  </si>
  <si>
    <t>ADVANCED SCIENCE LETTERS</t>
  </si>
  <si>
    <t>AMER SCIENTIFIC PUBLISHERS</t>
  </si>
  <si>
    <t>10.1166/asl.2018.11137</t>
  </si>
  <si>
    <t>http://dx.doi.org/10.1166/asl.2018.11137</t>
  </si>
  <si>
    <t>461</t>
  </si>
  <si>
    <t>The implementation of primary psychological care in Belgium: Profile and satisfaction of primary care psychologists and orthopedagogists; L'implémentation des soins psychologiques de première ligne en Belgique : profil et satisfaction des psychologues et orthopédagogues de première ligne</t>
  </si>
  <si>
    <t>Kinard, A.; Glowacz, F.; Bruffaerts, R.; Jansen, L.</t>
  </si>
  <si>
    <t>Annales Medico-Psychologiques</t>
  </si>
  <si>
    <t>Elsevier Masson s.r.l.</t>
  </si>
  <si>
    <t>10.1016/j.amp.2023.05.008</t>
  </si>
  <si>
    <t>https://www.scopus.com/inward/record.uri?eid=2-s2.0-85172476858&amp;doi=10.1016%2Fj.amp.2023.05.008&amp;partnerID=40&amp;md5=0ecb8aeb382247e4c8fd566f78858ffc</t>
  </si>
  <si>
    <t>303</t>
  </si>
  <si>
    <t>The Integration of Green Sustainability Into Supplier Selection: Perspective of Grounded Theory</t>
  </si>
  <si>
    <t>BUSINESS AND SOCIETY REVIEW</t>
  </si>
  <si>
    <t>10.1111/basr.70030</t>
  </si>
  <si>
    <t>http://dx.doi.org/10.1111/basr.70030</t>
  </si>
  <si>
    <t>114</t>
  </si>
  <si>
    <t>The Operationalization of the Novel 'Do No Significant Harm' Principle Under the Recovery and Resilience Facility Framework: Unravelling its Multilevel Application</t>
  </si>
  <si>
    <t>Kentache, L.</t>
  </si>
  <si>
    <t>Review of European Administrative Law</t>
  </si>
  <si>
    <t>Uitgeverij Paris</t>
  </si>
  <si>
    <t>10.7590/187479825X17562060647906</t>
  </si>
  <si>
    <t>https://www.scopus.com/inward/record.uri?eid=2-s2.0-105018523911&amp;doi=10.7590%2F187479825X17562060647906&amp;partnerID=40&amp;md5=fe47b92a16ae7f9b8b11a81d8b9a72ba</t>
  </si>
  <si>
    <t>272</t>
  </si>
  <si>
    <t>The Purchasing Behavior of Public Organizations and its Impact on City Logistics</t>
  </si>
  <si>
    <t>Balm, S.; Amstel, W.P.V.; Habers, J.; Aditjandra, P.; Zunder, T.H.</t>
  </si>
  <si>
    <t>Transportation Research Procedia</t>
  </si>
  <si>
    <t>10.1016/j.trpro.2016.02.063</t>
  </si>
  <si>
    <t>https://www.scopus.com/inward/record.uri?eid=2-s2.0-85021286190&amp;doi=10.1016%2Fj.trpro.2016.02.063&amp;partnerID=40&amp;md5=619db9e2a2b8faef82bc5048dabd43f8</t>
  </si>
  <si>
    <t>355</t>
  </si>
  <si>
    <t>The Role of Interoperability for Digital Twins</t>
  </si>
  <si>
    <t>Moreira, JLR</t>
  </si>
  <si>
    <t>ENTERPRISE DESIGN, OPERATIONS, AND COMPUTING, EDOC 2023 WORKSHOPS, IDAMS, IRESEARCH, MIDAS4CS, SOEA4EE, EDOC FORUM, DEMONSTRATIONS TRACK AND DOCTORAL CONSORTIUM</t>
  </si>
  <si>
    <t>SPRINGER NATURE SWITZERLAND AG</t>
  </si>
  <si>
    <t>10.1007/978-3-031-54712-6_9</t>
  </si>
  <si>
    <t>http://dx.doi.org/10.1007/978-3-031-54712-6_9</t>
  </si>
  <si>
    <t>interoperability; DPP/product data; data ecosystems/data spaces; governance/standards</t>
  </si>
  <si>
    <t>41</t>
  </si>
  <si>
    <t>The value for money factors and their interrelationships for smart city public-private partnerships projects</t>
  </si>
  <si>
    <t>Almarri, K</t>
  </si>
  <si>
    <t>10.1108/CI-01-2022-0020</t>
  </si>
  <si>
    <t>http://dx.doi.org/10.1108/CI-01-2022-0020</t>
  </si>
  <si>
    <t>143</t>
  </si>
  <si>
    <t>To What Extent Are the Green Public Procurement Criteria in National Policies and Action Plans? Commonalities Across European Countries for Environmentally Harmonized Valuations</t>
  </si>
  <si>
    <t>Guarini, MR; Ghiani, G; Sica, F</t>
  </si>
  <si>
    <t>LAND</t>
  </si>
  <si>
    <t>10.3390/land14061215</t>
  </si>
  <si>
    <t>http://dx.doi.org/10.3390/land14061215</t>
  </si>
  <si>
    <t>78</t>
  </si>
  <si>
    <t>Toward a resilient European battery ecosystem by 2030: Strategic pathways to meet EU regulatory targets</t>
  </si>
  <si>
    <t>Mattia Gianvincenzi and Marco Marconi and Enrico Maria Mosconi and Francesco Tola</t>
  </si>
  <si>
    <t>Journal of Energy Storage</t>
  </si>
  <si>
    <t>10.1016/j.est.2025.117851</t>
  </si>
  <si>
    <t>https://doi.org/10.1016/j.est.2025.117851</t>
  </si>
  <si>
    <t>452</t>
  </si>
  <si>
    <t>Towards a Digital Twin for Sustainable Asset Management of IoT Devices in Smart Buildings</t>
  </si>
  <si>
    <t>Okolo, C; Schmieder, N; Hellwig, M; Rigger, E</t>
  </si>
  <si>
    <t>2024 IEEE INTERNATIONAL CONFERENCE ON ENGINEERING, TECHNOLOGY, AND INNOVATION, ICE/ITMC 2024</t>
  </si>
  <si>
    <t>10.1109/ICE/ITMC61926.2024.10794253</t>
  </si>
  <si>
    <t>http://dx.doi.org/10.1109/ICE/ITMC61926.2024.10794253</t>
  </si>
  <si>
    <t>44</t>
  </si>
  <si>
    <t>Towards a service-oriented architecture for information systems in the circular economy</t>
  </si>
  <si>
    <t>10.1016/j.procir.2024.02.020</t>
  </si>
  <si>
    <t>https://www.scopus.com/inward/record.uri?eid=2-s2.0-85193535658&amp;doi=10.1016%2Fj.procir.2024.02.020&amp;partnerID=40&amp;md5=31f3d8b5581654027f26af79fff02fa6</t>
  </si>
  <si>
    <t>247</t>
  </si>
  <si>
    <t>Towards Engineering Product Digital Twins for Industry 5.0: Definition and Modeling Approach</t>
  </si>
  <si>
    <t>Q. -D. Nguyen; K. Suri; G. D. S. Sidibe</t>
  </si>
  <si>
    <t>10.1109/ETFA65518.2025.11205550</t>
  </si>
  <si>
    <t>https://ieeexplore.ieee.org/stamp/stamp.jsp?arnumber=11205550</t>
  </si>
  <si>
    <t>403</t>
  </si>
  <si>
    <t>Transforming Sustainable Procurement in the Power Transmission Sector: Evolving Qualification Requirements and Evaluation Criteria</t>
  </si>
  <si>
    <t>Siddhardha, M.; Singh, K.; Nahar, P.; Bhargava, A.; Sarma, B.A.; Ravisankar, G.</t>
  </si>
  <si>
    <t>Water and Energy International</t>
  </si>
  <si>
    <t>Central Board of Irrigation and Power</t>
  </si>
  <si>
    <t>https://www.scopus.com/inward/record.uri?eid=2-s2.0-85208500901&amp;partnerID=40&amp;md5=58c7bfe0d06670debd751a94371c4576</t>
  </si>
  <si>
    <t>299</t>
  </si>
  <si>
    <t>Transitioning from green to circular procurement in developing counties: a conceptual framework for Ghana's construction sector</t>
  </si>
  <si>
    <t>Ababio, BK; Lu, WS; Ghansah, FA</t>
  </si>
  <si>
    <t>BUILDING RESEARCH AND INFORMATION</t>
  </si>
  <si>
    <t>10.1080/09613218.2023.2229456</t>
  </si>
  <si>
    <t>http://dx.doi.org/10.1080/09613218.2023.2229456</t>
  </si>
  <si>
    <t>77</t>
  </si>
  <si>
    <t>Unlocking Circularity in Textiles Through a RAIN-Enabled Automated Framework</t>
  </si>
  <si>
    <t>P. Ugale; M. Brewster</t>
  </si>
  <si>
    <t>IEEE Journal of Radio Frequency Identification</t>
  </si>
  <si>
    <t>10.1109/JRFID.2025.3636554</t>
  </si>
  <si>
    <t>https://ieeexplore.ieee.org/stamp/stamp.jsp?arnumber=11267454</t>
  </si>
  <si>
    <t>398</t>
  </si>
  <si>
    <t>Unveiling the circular procurement Nexus: A hierarchical examination of barriers, interrelationships, and strategic insights</t>
  </si>
  <si>
    <t>Qazi, AA; Appolloni, A</t>
  </si>
  <si>
    <t>10.1016/j.pursup.2024.100935</t>
  </si>
  <si>
    <t>http://dx.doi.org/10.1016/j.pursup.2024.100935</t>
  </si>
  <si>
    <t>85</t>
  </si>
  <si>
    <t>Urban food policies in German city regions: An overview of key players an policy instruments</t>
  </si>
  <si>
    <t>Doernberg, A; Horn, P; Zasada, I; Piorr, A</t>
  </si>
  <si>
    <t>FOOD POLICY</t>
  </si>
  <si>
    <t>10.1016/j.foodpol.2019.101782</t>
  </si>
  <si>
    <t>http://dx.doi.org/10.1016/j.foodpol.2019.101782</t>
  </si>
  <si>
    <t>142</t>
  </si>
  <si>
    <t>What does it take to make the most of supplier relationships?</t>
  </si>
  <si>
    <t>Gadde, LE; Snehota, I</t>
  </si>
  <si>
    <t>INDUSTRIAL MARKETING MANAGEMENT</t>
  </si>
  <si>
    <t>10.1016/j.indmarman.2019.07.003</t>
  </si>
  <si>
    <t>http://dx.doi.org/10.1016/j.indmarman.2019.07.003</t>
  </si>
  <si>
    <t>118</t>
  </si>
  <si>
    <t>Wood- and Steel-Based Offsite Construction Solutions for Sustainable Building Renovation: Assessing the European and Italian Contexts</t>
  </si>
  <si>
    <t>Salvalai, G; Gadusso, F; Benedetti, M</t>
  </si>
  <si>
    <t>10.3390/su17156799</t>
  </si>
  <si>
    <t>http://dx.doi.org/10.3390/su17156799</t>
  </si>
  <si>
    <t>120</t>
  </si>
  <si>
    <t>Design and Implementation of a Software System for Digital Product Passport</t>
  </si>
  <si>
    <t>Morellini, L.; Ferrando, A.; Cabri, G.; Garuti, M.</t>
  </si>
  <si>
    <t>Proceedings of the Workshop on Enabling Technologies: Infrastructure for Collaborative Enterprises, WETICE</t>
  </si>
  <si>
    <t>10.1109/WETICE67341.2025.11092048</t>
  </si>
  <si>
    <t>https://www.scopus.com/inward/record.uri?eid=2-s2.0-105013077042&amp;doi=10.1109%2FWETICE67341.2025.11092048&amp;partnerID=40&amp;md5=71f0bb7d8c1a54119713e63546a5bdda</t>
  </si>
  <si>
    <t>204</t>
  </si>
  <si>
    <t>Enhancing Digital Product Passport Through Decentralized Digital Twins</t>
  </si>
  <si>
    <t>Kannappan, R; Hatin, J; Bertin, E; Crespi, N</t>
  </si>
  <si>
    <t>2025 12TH IFIP INTERNATIONAL CONFERENCE ON NEW TECHNOLOGIES, MOBILITY AND SECURITY, NTMS</t>
  </si>
  <si>
    <t>10.1109/NTMS65597.2025.11076730</t>
  </si>
  <si>
    <t>http://dx.doi.org/10.1109/NTMS65597.2025.11076730</t>
  </si>
  <si>
    <t>8</t>
  </si>
  <si>
    <t>Evaluation of the Enterprise Interoperability Framework (EIF) for Creating an Interoperable European Digital Passport System</t>
  </si>
  <si>
    <t>Knothe, T; Gering, P; Böge, G; Fox, J; D'Agostino, N; van Deventer, C</t>
  </si>
  <si>
    <t>10.1007/978-3-031-93995-2_15</t>
  </si>
  <si>
    <t>http://dx.doi.org/10.1007/978-3-031-93995-2_15</t>
  </si>
  <si>
    <t>14</t>
  </si>
  <si>
    <t>Mapping 3D design system to digital product passport requirements: a case study of CLO3D and Style3D</t>
  </si>
  <si>
    <t>Zhao, R; Liu, CL</t>
  </si>
  <si>
    <t>RESEARCH JOURNAL OF TEXTILE AND APPAREL</t>
  </si>
  <si>
    <t>10.1108/RJTA-08-2025-0187</t>
  </si>
  <si>
    <t>http://dx.doi.org/10.1108/RJTA-08-2025-0187</t>
  </si>
  <si>
    <t>explicit EA; interoperability; DPP/product data; sustainability/circular economy; data ecosystems/data spaces; governance/standards; DSR-support</t>
  </si>
  <si>
    <t>3</t>
  </si>
  <si>
    <t>Realization of a Digital Product Passport for a Cross-Company Carbon Accounting</t>
  </si>
  <si>
    <t>Petrik, D; Härer, F; Schöllkopf, F</t>
  </si>
  <si>
    <t>HERMAN HOLLERITH CONFERENCE 2024</t>
  </si>
  <si>
    <t>SPRINGER VIEWEG VERLAG</t>
  </si>
  <si>
    <t>10.1007/978-3-658-48215-2_5</t>
  </si>
  <si>
    <t>http://dx.doi.org/10.1007/978-3-658-48215-2_5</t>
  </si>
  <si>
    <t>17</t>
  </si>
  <si>
    <t>Reference Architecture for Digital Product Passports: Leveraging AI in Industry 4.0 Systems</t>
  </si>
  <si>
    <t>Mateo-Casalí, M.A.; Boza, A.; Fraile, F.; Moya-Ruiz, L.</t>
  </si>
  <si>
    <t>10.1109/ICE/ITMC65658.2025.11106524</t>
  </si>
  <si>
    <t>https://www.scopus.com/inward/record.uri?eid=2-s2.0-105015427234&amp;doi=10.1109%2FICE%2FITMC65658.2025.11106524&amp;partnerID=40&amp;md5=067dd19a53ffd20ddfbe1c6616663d89</t>
  </si>
  <si>
    <t>200</t>
  </si>
  <si>
    <t>Enterprise Architecture as an Enabler for a Government Business Ecosystem: Experiences from Finland</t>
  </si>
  <si>
    <t>Ghezzi, R; Kolehmainen, T; Setälä, M; Mikkonen, T</t>
  </si>
  <si>
    <t>MANAGEMENT OF DIGITAL ECOSYSTEMS, MEDES 2023</t>
  </si>
  <si>
    <t>10.1007/978-3-031-51643-6_16</t>
  </si>
  <si>
    <t>http://dx.doi.org/10.1007/978-3-031-51643-6_16</t>
  </si>
  <si>
    <t>explicit EA; interoperability; data ecosystems/data spaces; governance/standards</t>
  </si>
  <si>
    <t>459</t>
  </si>
  <si>
    <t>An Industry 4.0-Compliant Digital Product Passport Approach for Realising Dairy Product Traceability</t>
  </si>
  <si>
    <t>Bar, M.A.; Colombo, A.W.; Torres, J.L.; Fernandez, E.; Rico, M.; Caliusco, M.L.</t>
  </si>
  <si>
    <t>IECON Proceedings (Industrial Electronics Conference)</t>
  </si>
  <si>
    <t>10.1109/IECON51785.2023.10312481</t>
  </si>
  <si>
    <t>https://www.scopus.com/inward/record.uri?eid=2-s2.0-85179504981&amp;doi=10.1109%2FIECON51785.2023.10312481&amp;partnerID=40&amp;md5=a4e31c19b97b5577d9ce1dbf66e6ec96</t>
  </si>
  <si>
    <t>DPP/product data; data ecosystems/data spaces</t>
  </si>
  <si>
    <t>257</t>
  </si>
  <si>
    <t>An Orchestration Engine Approach for Building Digital Product Passports in the Dairy Value Chain</t>
  </si>
  <si>
    <t>Raut, S; Roldan, ML; Villarreal, P; Caliusco, ML; Colombo, AW</t>
  </si>
  <si>
    <t>10.1109/ICPS65515.2025.11087901</t>
  </si>
  <si>
    <t>http://dx.doi.org/10.1109/ICPS65515.2025.11087901</t>
  </si>
  <si>
    <t>DPP/product data</t>
  </si>
  <si>
    <t>32</t>
  </si>
  <si>
    <t>Defining Scalable Data Models for Operational Data Integration in Manufacturing Processes Within the Digital Product Passport Framework Through OPC UA and Asset Administration Shell</t>
  </si>
  <si>
    <t>Ajdinovic, S; Maisch, N; Dzubba, M; Lechler, A; Riedel, O</t>
  </si>
  <si>
    <t>FLEXIBLE AUTOMATION AND INTELLIGENT MANUFACTURING: MANUFACTURING INNOVATION AND PREPAREDNESS FOR THE CHANGING WORLD ORDER, FAIM 2024, VOL 1</t>
  </si>
  <si>
    <t>10.1007/978-3-031-74482-2_14</t>
  </si>
  <si>
    <t>http://dx.doi.org/10.1007/978-3-031-74482-2_14</t>
  </si>
  <si>
    <t>DPP/product data; governance/standards</t>
  </si>
  <si>
    <t>10</t>
  </si>
  <si>
    <t>Delegated Act setting out requirements to be followed by digital product passport service providers and a conformity assessment scheme to verify such requirements</t>
  </si>
  <si>
    <t>European Commission, Directorate-
General for Internal Market, Industry,
Entrepreneurship and SMEs</t>
  </si>
  <si>
    <t>EUR-Lex website</t>
  </si>
  <si>
    <t>EUR-Lex</t>
  </si>
  <si>
    <t>https://eur-lex.europa.eu/legal-content/AUTO/?uri=PI_COM:Ares(2024)8031852&amp;qid=1771949868721&amp;rid=4</t>
  </si>
  <si>
    <t>Call for evidence for an impact
assessment</t>
  </si>
  <si>
    <t>policy/regulatory search</t>
  </si>
  <si>
    <t>Emerging Technologies Revolutionising Public Procurement: Insights from Comprehensive Bibliometric Analysis</t>
  </si>
  <si>
    <t>Mavidis, A; Folinas, D; Skiadas, D; Xanthopoulos, A</t>
  </si>
  <si>
    <t>ADMINISTRATIVE SCIENCES</t>
  </si>
  <si>
    <t>10.3390/admsci14020023</t>
  </si>
  <si>
    <t>http://dx.doi.org/10.3390/admsci14020023</t>
  </si>
  <si>
    <t>82</t>
  </si>
  <si>
    <t>Green Public Procurement in Civil Infrastructure Construction: Current Performance and Main Project Characteristics</t>
  </si>
  <si>
    <t>Montalbán-Domingo, L; Torres-Machi, C; Sanz-Benlloch, A; Pellicer, E; Molenaar, KR</t>
  </si>
  <si>
    <t>JOURNAL OF CONSTRUCTION ENGINEERING AND MANAGEMENT</t>
  </si>
  <si>
    <t>10.1061/JCEMD4.COENG-13502</t>
  </si>
  <si>
    <t>http://dx.doi.org/10.1061/JCEMD4.COENG-13502</t>
  </si>
  <si>
    <t>93</t>
  </si>
  <si>
    <t>Information Modelling Management and Green Public Procurement for Waste Management and Environmental Renovation of Brownfields</t>
  </si>
  <si>
    <t>Pellegrini, L; Locatelli, M; Meschini, S; Pattini, G; Seghezzi, E; Tagliabue, LC; Di Giuda, GM</t>
  </si>
  <si>
    <t>10.3390/su13158585</t>
  </si>
  <si>
    <t>http://dx.doi.org/10.3390/su13158585</t>
  </si>
  <si>
    <t>92</t>
  </si>
  <si>
    <t>LEGAL REGULATION OF PUBLIC PROCUREMENT IN EU: CHALLENGES AND PROSPECTS</t>
  </si>
  <si>
    <t>Begzhan, A.; Alibekov, S.; Kussainova, A.; Zhailau, Z.; Baitukayeva, D.</t>
  </si>
  <si>
    <t>InterEULawEast</t>
  </si>
  <si>
    <t>University of Zagreb Faculty of Economics and Business</t>
  </si>
  <si>
    <t>10.22598/iele.2025.12.2.1</t>
  </si>
  <si>
    <t>https://www.scopus.com/inward/record.uri?eid=2-s2.0-105027289799&amp;doi=10.22598%2Fiele.2025.12.2.1&amp;partnerID=40&amp;md5=ba4f11537269f7dd627dc06ca8e2b5bc</t>
  </si>
  <si>
    <t>263</t>
  </si>
  <si>
    <t>LLM-based JSON mapping and blockchain integration for Digital Product Passports</t>
  </si>
  <si>
    <t>David Rohrschneider and Marcel Pehlke and Uwe Handmann and Marc Jansen</t>
  </si>
  <si>
    <t>Digital Business</t>
  </si>
  <si>
    <t>10.1016/j.digbus.2026.100167</t>
  </si>
  <si>
    <t>https://doi.org/10.1016/j.digbus.2026.100167</t>
  </si>
  <si>
    <t>DPP/product data; governance/standards; DSR-support</t>
  </si>
  <si>
    <t>453</t>
  </si>
  <si>
    <t>Patterns in Worldwide Literature About Green Public Procurement: Bibliometric Analysis and Knowledge Mapping</t>
  </si>
  <si>
    <t>Bunescu, L; Serban, A</t>
  </si>
  <si>
    <t>STUDIES IN BUSINESS AND ECONOMICS</t>
  </si>
  <si>
    <t>Paradigm Publishing Services-De Gruyter Brill Sp Zoo</t>
  </si>
  <si>
    <t>10.2478/sbe-2025-0045</t>
  </si>
  <si>
    <t>http://dx.doi.org/10.2478/sbe-2025-0045</t>
  </si>
  <si>
    <t>62</t>
  </si>
  <si>
    <t>Traceability Data in the form of Digital Food Product Passports for Fish Supply Chains</t>
  </si>
  <si>
    <t>S. Jiang; M. K. Natvig; T. Bakkejord Ræder; P. Bourgos; N. Tsampanaki</t>
  </si>
  <si>
    <t>10.1109/EEITE65381.2025.11166326</t>
  </si>
  <si>
    <t>https://ieeexplore.ieee.org/stamp/stamp.jsp?arnumber=11166326</t>
  </si>
  <si>
    <t>402</t>
  </si>
  <si>
    <t>A Bibliometric Review of the Synergy Between Building Information Modeling and Integrated Project Delivery in the AEC Industry</t>
  </si>
  <si>
    <t>Usman, U.; Yaro, A.I.; Abdalla, A.M.A.; Wuni, I.Y.; Abd El Fattah, A.</t>
  </si>
  <si>
    <t>International Journal of Construction Education and Research</t>
  </si>
  <si>
    <t>Routledge</t>
  </si>
  <si>
    <t>10.1080/15578771.2026.2625664</t>
  </si>
  <si>
    <t>https://www.scopus.com/inward/record.uri?eid=2-s2.0-105029557190&amp;doi=10.1080%2F15578771.2026.2625664&amp;partnerID=40&amp;md5=4e48a8adb459c768997a3feacce5feac</t>
  </si>
  <si>
    <t>interoperability; sustainability/circular economy; governance/standards</t>
  </si>
  <si>
    <t>264</t>
  </si>
  <si>
    <t>Specifying standards in acquisition - What happens when the rubber hits the road?</t>
  </si>
  <si>
    <t>Skinner, S.G.; Bailey, G.</t>
  </si>
  <si>
    <t>2020 Simulation Innovation Workshop, SIW 2020</t>
  </si>
  <si>
    <t>SISO - Simulation Interoperability Standards Organization</t>
  </si>
  <si>
    <t>https://www.scopus.com/inward/record.uri?eid=2-s2.0-85101993068&amp;partnerID=40&amp;md5=335ae6abcc3229a57e5ac4cb18705ac9</t>
  </si>
  <si>
    <t>338</t>
  </si>
  <si>
    <t>Systems Thinking for Supply Chains: Identifying Bottlenecks Using Process Mapping of a Child Health Intervention in the Democratic Republic of the Congo (DRC)</t>
  </si>
  <si>
    <t>Karim, A; Burri, C; Kila, JSN; Bambwelo, N; Bakukulu, JT; de Savigny, D</t>
  </si>
  <si>
    <t>10.3390/systems12040137</t>
  </si>
  <si>
    <t>http://dx.doi.org/10.3390/systems12040137</t>
  </si>
  <si>
    <t>explicit EA; interoperability; sustainability/circular economy</t>
  </si>
  <si>
    <t>472</t>
  </si>
  <si>
    <t>Agile Collaborative Architecture for the Development of E-Government Services in Romania: Electronic Public Procurement Case Study</t>
  </si>
  <si>
    <t>Stoica, M; Mircea, M; Ghilic-Micu, B</t>
  </si>
  <si>
    <t>USER CENTRIC E-GOVERNMENT: CHALLENGES AND OPPORTUNITIES</t>
  </si>
  <si>
    <t>SPRINGER</t>
  </si>
  <si>
    <t>10.1007/978-3-319-59442-2_7</t>
  </si>
  <si>
    <t>http://dx.doi.org/10.1007/978-3-319-59442-2_7</t>
  </si>
  <si>
    <t>Article; Book Chapter</t>
  </si>
  <si>
    <t>explicit EA; procurement/public administration; governance/standards</t>
  </si>
  <si>
    <t>460</t>
  </si>
  <si>
    <t>Enhancing strategic public procurement: a public service logic perspective</t>
  </si>
  <si>
    <t>Patrucco, AS; Kauppi, K; Di Mauro, C; Schotanus, F</t>
  </si>
  <si>
    <t>PUBLIC MANAGEMENT REVIEW</t>
  </si>
  <si>
    <t>10.1080/14719037.2024.2411630</t>
  </si>
  <si>
    <t>http://dx.doi.org/10.1080/14719037.2024.2411630</t>
  </si>
  <si>
    <t>66</t>
  </si>
  <si>
    <t>Environment Performance Criteria as Means for Green Public Procurement</t>
  </si>
  <si>
    <t>Han, Q.; Blaauwbroek, S.; Lee, P.-H.</t>
  </si>
  <si>
    <t>10.1007/978-981-99-8501-2_2</t>
  </si>
  <si>
    <t>https://www.scopus.com/inward/record.uri?eid=2-s2.0-85188702223&amp;doi=10.1007%2F978-981-99-8501-2_2&amp;partnerID=40&amp;md5=19223be9d8291213e4db58c1075b6a33</t>
  </si>
  <si>
    <t>309</t>
  </si>
  <si>
    <t>Strategic ICT Procurement in Finland: Tensions and Opportunities</t>
  </si>
  <si>
    <t>Ghezzi, RK</t>
  </si>
  <si>
    <t>PRODUCT-FOCUSED SOFTWARE PROCESS IMPROVEMENT, PROFES 2022</t>
  </si>
  <si>
    <t>10.1007/978-3-031-21388-5_54</t>
  </si>
  <si>
    <t>http://dx.doi.org/10.1007/978-3-031-21388-5_54</t>
  </si>
  <si>
    <t>explicit EA; interoperability; procurement/public administration; sustainability/circular economy</t>
  </si>
  <si>
    <t>458; 75</t>
  </si>
  <si>
    <t>Synergy Between BIM and e-Procurement: A New Paradigm for Digital Procurement Management</t>
  </si>
  <si>
    <t>Zitiello, EP; Porcellini, F; Basile, E; Salzano, A; Nicolella, M</t>
  </si>
  <si>
    <t>COMPUTATIONAL SCIENCE AND ITS APPLICATIONS-ICCSA 2025 WORKSHOPS, PT VI</t>
  </si>
  <si>
    <t>10.1007/978-3-031-97617-9_5</t>
  </si>
  <si>
    <t>http://dx.doi.org/10.1007/978-3-031-97617-9_5</t>
  </si>
  <si>
    <t>58</t>
  </si>
  <si>
    <t>Sustainability performance of Dutch firms and the role of digitalization: The case of textile and apparel industry</t>
  </si>
  <si>
    <t>Frazen Tolentino-Zondervan and Lori DiVito</t>
  </si>
  <si>
    <t>10.1016/j.jclepro.2024.142573</t>
  </si>
  <si>
    <t>https://doi.org/10.1016/j.jclepro.2024.142573</t>
  </si>
  <si>
    <t>sustainability/circular economy</t>
  </si>
  <si>
    <t>442</t>
  </si>
  <si>
    <t>Unlocking the circular economy potential in the textiles and fashion industries of Japan: Opportunities for European businesses</t>
  </si>
  <si>
    <t>Manuel Herrador and Mayu Imanishi</t>
  </si>
  <si>
    <t>10.1016/j.jclepro.2024.144491</t>
  </si>
  <si>
    <t>https://doi.org/10.1016/j.jclepro.2024.144491</t>
  </si>
  <si>
    <t>sustainability/circular economy; governance/standards</t>
  </si>
  <si>
    <t>449</t>
  </si>
  <si>
    <t>Approaching CSR Integration in the Greek Public Administration: Examples of Public Entities</t>
  </si>
  <si>
    <t>Tsaousis, G; Papafloratos, T</t>
  </si>
  <si>
    <t>SAGE OPEN</t>
  </si>
  <si>
    <t>10.1177/21582440251409680</t>
  </si>
  <si>
    <t>http://dx.doi.org/10.1177/21582440251409680</t>
  </si>
  <si>
    <t>110</t>
  </si>
  <si>
    <t>BLOCKCHAIN AND SMART PUBLIC A COMPARATIVE LEGAL ANALYSIS OF DIGITAL TRANSFORMATION IN THE PUBLIC SECTOR</t>
  </si>
  <si>
    <t>Abdelsalam, M; Abouahmed, A; Shatat, A; Hashish, A; AlQodsi, E</t>
  </si>
  <si>
    <t>ACCESS TO JUSTICE IN EASTERN EUROPE</t>
  </si>
  <si>
    <t>EAST EUROPEAN LAW RESEARCH CENTER</t>
  </si>
  <si>
    <t>10.33327/AJEE-18-8.4-a000137</t>
  </si>
  <si>
    <t>http://dx.doi.org/10.33327/AJEE-18-8.4-a000137</t>
  </si>
  <si>
    <t>86</t>
  </si>
  <si>
    <t>Blockchain architecture for process-level traceability of continuous mixing process in battery cell production</t>
  </si>
  <si>
    <t>Otte, S; Reuscher, L; Keller, D; Fleischer, J</t>
  </si>
  <si>
    <t>2024 1ST INTERNATIONAL CONFERENCE ON PRODUCTION TECHNOLOGIES AND SYSTEMS FOR E-MOBILITY, EPTS 2024</t>
  </si>
  <si>
    <t>10.1109/EPTS61482.2024.10586718</t>
  </si>
  <si>
    <t>http://dx.doi.org/10.1109/EPTS61482.2024.10586718</t>
  </si>
  <si>
    <t>53</t>
  </si>
  <si>
    <t>Cloud-Connected Battery Management System for Secure Battery-Passport Implementation</t>
  </si>
  <si>
    <t>Prochazka, W.; Bergveldt, H.; Dadikozyan, A.</t>
  </si>
  <si>
    <t>PCIM Europe Conference Proceedings</t>
  </si>
  <si>
    <t>Mesago PCIM GmbH</t>
  </si>
  <si>
    <t>10.30420/566541108</t>
  </si>
  <si>
    <t>https://www.scopus.com/inward/record.uri?eid=2-s2.0-105013848737&amp;doi=10.30420%2F566541108&amp;partnerID=40&amp;md5=507662ccb9af49e0d0bf9dbc13d9fe2f</t>
  </si>
  <si>
    <t>202</t>
  </si>
  <si>
    <t>Comprehensive Review on Integrating Battery Management System with Digital Twin for Real-Time EV Battery State Estimation</t>
  </si>
  <si>
    <t>Patil, K.; Patil, M.</t>
  </si>
  <si>
    <t>2025 1st International Conference on AIML-Applications for Engineering and Technology, ICAET 2025</t>
  </si>
  <si>
    <t>10.1109/ICAET63349.2025.10932289</t>
  </si>
  <si>
    <t>https://www.scopus.com/inward/record.uri?eid=2-s2.0-105002465954&amp;doi=10.1109%2FICAET63349.2025.10932289&amp;partnerID=40&amp;md5=5a4fdfef725396d8748f70f58d9b250e</t>
  </si>
  <si>
    <t>220</t>
  </si>
  <si>
    <t>Development of a Simplified Mathematical Model of the Radiation Pattern of a Dual-Reflector Antenna System</t>
  </si>
  <si>
    <t>D. Filippov; I. Silvestrov</t>
  </si>
  <si>
    <t>2023 25th International Conference on Digital Signal Processing and its Applications (DSPA)</t>
  </si>
  <si>
    <t>10.1109/DSPA57594.2023.10113416</t>
  </si>
  <si>
    <t>https://ieeexplore.ieee.org/stamp/stamp.jsp?arnumber=10113416</t>
  </si>
  <si>
    <t>410</t>
  </si>
  <si>
    <t>Distributed zero trust architecture based on policy negotiation secured by DPP in blockchain</t>
  </si>
  <si>
    <t>Stodt, F.; Ruf, P.; Reich, C.; Theoleyre, F.</t>
  </si>
  <si>
    <t>Annales des Telecommunications/Annals of Telecommunications</t>
  </si>
  <si>
    <t>10.1007/s12243-025-01124-x</t>
  </si>
  <si>
    <t>https://www.scopus.com/inward/record.uri?eid=2-s2.0-105019109848&amp;doi=10.1007%2Fs12243-025-01124-x&amp;partnerID=40&amp;md5=f746e8bf189bd059d9c8ce04bd8d183f</t>
  </si>
  <si>
    <t>161</t>
  </si>
  <si>
    <t>Driving resiliency and digitalization in the sourcing process: integration of blockchain technology and smart contracts</t>
  </si>
  <si>
    <t>Meafa, AE; Benabdellah, AC; Zekhnini, K; Belhadi, A; Kamble, S</t>
  </si>
  <si>
    <t>BENCHMARKING-AN INTERNATIONAL JOURNAL</t>
  </si>
  <si>
    <t>10.1108/BIJ-01-2024-0059</t>
  </si>
  <si>
    <t>http://dx.doi.org/10.1108/BIJ-01-2024-0059</t>
  </si>
  <si>
    <t>468</t>
  </si>
  <si>
    <t>Enhancing resilience - asset monitoring and digitalization help to add DER and NOG switchgear</t>
  </si>
  <si>
    <t>T. Duerr; O. Hartmann; P. Singh; E. Aumann</t>
  </si>
  <si>
    <t>CIRED Chicago Workshop 2024: Resilience of Electric Distribution Systems</t>
  </si>
  <si>
    <t>10.1049/icp.2024.2650</t>
  </si>
  <si>
    <t>https://ieeexplore.ieee.org/stamp/stamp.jsp?arnumber=10915774</t>
  </si>
  <si>
    <t>405</t>
  </si>
  <si>
    <t>Generalized State of Health Estimation Approach based on Neural Networks for Various Lithium-Ion Battery Chemistries</t>
  </si>
  <si>
    <t>Bockrath, Steffen and Pruckner, Marco</t>
  </si>
  <si>
    <t>Proceedings of the 14th ACM International Conference on Future Energy Systems</t>
  </si>
  <si>
    <t>10.1145/3575813.3595207</t>
  </si>
  <si>
    <t>https://doi.org/10.1145/3575813.3595207</t>
  </si>
  <si>
    <t>418</t>
  </si>
  <si>
    <t>How to use emerging service technologies to enhance customer centricity in business-to-business contexts: A conceptual framework and research agenda</t>
  </si>
  <si>
    <t>Wünderlich, N.V.; Blut, M.; Brock, C.; Heirati, N.; Jensen, M.; Paluch, S.; Rötzmeier-Keuper, J.; Tóth, Z.</t>
  </si>
  <si>
    <t>Elsevier Inc.</t>
  </si>
  <si>
    <t>10.1016/j.jbusres.2025.115284</t>
  </si>
  <si>
    <t>https://www.scopus.com/inward/record.uri?eid=2-s2.0-86000310189&amp;doi=10.1016%2Fj.jbusres.2025.115284&amp;partnerID=40&amp;md5=43c61a3f607f1bec96376e2fcfee6c51</t>
  </si>
  <si>
    <t>181</t>
  </si>
  <si>
    <t>Multitextile and Multiband UHF RFID Antenna-Based Sensor for Noninvasive eHealth Hydration Monitoring</t>
  </si>
  <si>
    <t>M. A. Alsultan; S. López-Soriano; J. Melià-Seguí</t>
  </si>
  <si>
    <t>IEEE Sensors Journal</t>
  </si>
  <si>
    <t>10.1109/JSEN.2025.3546431</t>
  </si>
  <si>
    <t>https://ieeexplore.ieee.org/stamp/stamp.jsp?arnumber=10914505</t>
  </si>
  <si>
    <t>407</t>
  </si>
  <si>
    <t>Adapting Business Models for Circular Economy: Practical Step-by-Step Methodology and Case Study Analysis from a German SME</t>
  </si>
  <si>
    <t>Benjamin Gellert and Felix Budde and Dirk Buße and Ronald Orth</t>
  </si>
  <si>
    <t>10.1016/j.procir.2024.12.028</t>
  </si>
  <si>
    <t>https://doi.org/10.1016/j.procir.2024.12.028</t>
  </si>
  <si>
    <t>439</t>
  </si>
  <si>
    <t>Digital Sustainability: Understanding and Managing Tensions</t>
  </si>
  <si>
    <t>T. Schoormann, F. Möller, C. Hoppe, J. vom Brocke</t>
  </si>
  <si>
    <t>Bus Inf Syst Eng</t>
  </si>
  <si>
    <t>10.1007/s12599-025-00937-3</t>
  </si>
  <si>
    <t>https://doi.org/10.1007/s12599-025-00937-3</t>
  </si>
  <si>
    <t>432</t>
  </si>
  <si>
    <t>Employing the Model Based Systems Engineering Methodologies to Develop a Domain Specific Language for Contracting of Infrastructure Projects</t>
  </si>
  <si>
    <t>Shirvani, F; Perez, P; Campbell, P; Beydoun, G</t>
  </si>
  <si>
    <t>12TH ANNUAL IEEE INTERNATIONAL SYSTEMS CONFERENCE (SYSCON2018)</t>
  </si>
  <si>
    <t>10.1109/SYSCON.2018.8369559</t>
  </si>
  <si>
    <t>https://doi.org/10.1109/SYSCON.2018.8369559</t>
  </si>
  <si>
    <t>467; 471</t>
  </si>
  <si>
    <t>Enhancing Circular Economy Efficiency Through Digital Twins</t>
  </si>
  <si>
    <t>Andrea Matta and Nicla Frigerio</t>
  </si>
  <si>
    <t>10.1016/j.ifacol.2025.09.398</t>
  </si>
  <si>
    <t>https://doi.org/10.1016/j.ifacol.2025.09.398</t>
  </si>
  <si>
    <t>456</t>
  </si>
  <si>
    <t>Evaluating strategic management of sustainable development in the European Union: A spatial–cluster perspective</t>
  </si>
  <si>
    <t>Henryk Dzwigol</t>
  </si>
  <si>
    <t>10.1016/j.joitmc.2026.100740</t>
  </si>
  <si>
    <t>https://doi.org/10.1016/j.joitmc.2026.100740</t>
  </si>
  <si>
    <t>450</t>
  </si>
  <si>
    <t>LESSONS LEARNED FROM ETHIOPIA’S PREPAREDNESS AND INITIAL RESPONSE TO THE COVID-19 PANDEMIC</t>
  </si>
  <si>
    <t>Berhane, Y.; Haddis, A.; Yallew, W.W.; Tarekegn, W.; Alemu, A.A.; Tadeg, H.; Kaba, M.; Deyessa, N.; Abebe, W.; Yigzaw, T.</t>
  </si>
  <si>
    <t>Ethiopian Journal of Health Development</t>
  </si>
  <si>
    <t>Ethiopian Public Health Association</t>
  </si>
  <si>
    <t>10.20372/ejhd.v38i1.6279</t>
  </si>
  <si>
    <t>https://www.scopus.com/inward/record.uri?eid=2-s2.0-85209390606&amp;doi=10.20372%2Fejhd.v38i1.6279&amp;partnerID=40&amp;md5=089f6db1eab477e6a95c3f0f619fd234</t>
  </si>
  <si>
    <t>306</t>
  </si>
  <si>
    <t>Multidimensional Sustainability Assessment of Inpari Nutri Zinc Rice Farming in Bantul, Indonesia, Using the RAP–MDS Approach</t>
  </si>
  <si>
    <t>Rahayu, L.; Indra, L.; Rubiyanto, C.W.</t>
  </si>
  <si>
    <t>Organic Farming</t>
  </si>
  <si>
    <t>Acadlore Publishing Services Limited</t>
  </si>
  <si>
    <t>10.56578/of110403</t>
  </si>
  <si>
    <t>https://www.scopus.com/inward/record.uri?eid=2-s2.0-105027455459&amp;doi=10.56578%2Fof110403&amp;partnerID=40&amp;md5=7a3e1f298ba68ffa4e9d914cc201ec5c</t>
  </si>
  <si>
    <t>288</t>
  </si>
  <si>
    <t>New Trade Protectionism Response to COVID-19: An Investigation on Firm Export Performance in an Emerging Country</t>
  </si>
  <si>
    <t>Nguyen, H.; Phan, T.P.; Moon, H.-C.; Do, B.</t>
  </si>
  <si>
    <t>Journal of Global Business and Trade</t>
  </si>
  <si>
    <t>International Academy of Global Business and Trade</t>
  </si>
  <si>
    <t>10.20294/jgbt.2023.19.3.91</t>
  </si>
  <si>
    <t>https://www.scopus.com/inward/record.uri?eid=2-s2.0-85171149344&amp;doi=10.20294%2Fjgbt.2023.19.3.91&amp;partnerID=40&amp;md5=67276bd919d1243250ddf00df655f1af</t>
  </si>
  <si>
    <t>313</t>
  </si>
  <si>
    <t>Optimization of Energy Consumption using Adaptive Feedrate Control Systems in Milling</t>
  </si>
  <si>
    <t>T. Trautner and P. Weissenböck and G. Mauthner and F. Bleicher and S. Sofer</t>
  </si>
  <si>
    <t>10.1016/j.procir.2026.01.162</t>
  </si>
  <si>
    <t>https://doi.org/10.1016/j.procir.2026.01.162</t>
  </si>
  <si>
    <t>433</t>
  </si>
  <si>
    <t>Product priorities under the Ecodesign for Sustainable Products Regulation (ESPR)</t>
  </si>
  <si>
    <t>European Commission, Directorate-General for Environment</t>
  </si>
  <si>
    <t>https://eur-lex.europa.eu/legal-content/AUTO/?uri=PI_COM:Ares(2023)693197&amp;qid=1771949868721&amp;rid=2</t>
  </si>
  <si>
    <t xml:space="preserve">Call for evidence for an initiative </t>
  </si>
  <si>
    <t>Proposal for a REGULATION OF THE EUROPEAN PARLIAMENT AND OF THE COUNCIL establishing a framework for setting ecodesign requirements for sustainable products and repealing Directive 2009/125/EC General Approach - Statement ST 9014 2023 ADD 1 REV 1 ST 9014 2023 ADD 1 REV 1</t>
  </si>
  <si>
    <t>Council of the European Union</t>
  </si>
  <si>
    <t>https://eur-lex.europa.eu/legal-content/AUTO/?uri=CONSIL:ST_9014_2023_ADD_1_REV_1&amp;qid=1771949868721&amp;rid=3</t>
  </si>
  <si>
    <t>Note</t>
  </si>
  <si>
    <t>Proposal for a REGULATION OF THE EUROPEAN PARLIAMENT AND OF THE COUNCIL establishing a framework for setting ecodesign requirements for sustainable products and repealing Directive 2009/125/EC General Approach-Statement</t>
  </si>
  <si>
    <t>https://eur-lex.europa.eu/legal-content/AUTO/?uri=CONSIL:ST_9014_2023_ADD_1&amp;qid=1771949868721&amp;rid=1</t>
  </si>
  <si>
    <t>The AI Act and Its Green Blind Spots: Hidden Environmental Risks in the AI Lifecycle</t>
  </si>
  <si>
    <t>Imad Antoine Ibrahim and Esmat Zaidan and Jon Truby and Thomas Hoppe</t>
  </si>
  <si>
    <t>Technology in Society</t>
  </si>
  <si>
    <t>10.1016/j.techsoc.2026.103284</t>
  </si>
  <si>
    <t>https://doi.org/10.1016/j.techsoc.2026.103284</t>
  </si>
  <si>
    <t>455</t>
  </si>
  <si>
    <t>The future of the technology-based manufacturing in the European Union</t>
  </si>
  <si>
    <t>Awadesh Kumar Mallik</t>
  </si>
  <si>
    <t>Results in Engineering</t>
  </si>
  <si>
    <t>10.1016/j.rineng.2023.101356</t>
  </si>
  <si>
    <t>https://doi.org/10.1016/j.rineng.2023.101356</t>
  </si>
  <si>
    <t>434</t>
  </si>
  <si>
    <t>Threads of Traceability: Textile IDs in the Fabric of Sustainable Fashion</t>
  </si>
  <si>
    <t>Haberfellner, Mira Alida and Z\"{u}hlke, Samuel and Boess, Leopold and Probst, Kathrin and Haller, Michael</t>
  </si>
  <si>
    <t>Proceedings of the 2024 ACM Designing Interactive Systems Conference</t>
  </si>
  <si>
    <t>10.1145/3643834.3661531</t>
  </si>
  <si>
    <t>https://doi.org/10.1145/3643834.3661531</t>
  </si>
  <si>
    <t>417</t>
  </si>
  <si>
    <t>Towards the Coopetitive Circular Business Model: Theoretical foundations, conceptual envisioning, and future research imperatives</t>
  </si>
  <si>
    <t>Helena H. Knight and Roberta {De Angelis} and Nina Telg and Robert E. Morgan</t>
  </si>
  <si>
    <t>Industrial Marketing Management</t>
  </si>
  <si>
    <t>10.1016/j.indmarman.2024.11.005</t>
  </si>
  <si>
    <t>https://doi.org/10.1016/j.indmarman.2024.11.005</t>
  </si>
  <si>
    <t>457</t>
  </si>
  <si>
    <t>Unlocking the value of retired EV batteries: Technologies, application, and commercial models for second-life energy storage in power systems</t>
  </si>
  <si>
    <t>Wenhu Tang and Yunlin Huang and Tong Qian and Xuehua Xie and Cihang Wei and Jianzhong Wu</t>
  </si>
  <si>
    <t>Applied Energy</t>
  </si>
  <si>
    <t>10.1016/j.apenergy.2025.127151</t>
  </si>
  <si>
    <t>https://doi.org/10.1016/j.apenergy.2025.127151</t>
  </si>
  <si>
    <t>441</t>
  </si>
  <si>
    <t>Modeling Government Business Ecosystems with Ecosystem Governance Compass</t>
  </si>
  <si>
    <t>Kolehmainen, T; Ghezzi, R; Mikkonen, T</t>
  </si>
  <si>
    <t>MANAGEMENT OF DIGITAL ECOSYSTEMS, MEDES 2024</t>
  </si>
  <si>
    <t>10.1007/978-3-031-93598-5_32</t>
  </si>
  <si>
    <t>http://dx.doi.org/10.1007/978-3-031-93598-5_32</t>
  </si>
  <si>
    <t>explicit EA; interoperability; sustainability/circular economy; data ecosystems/data spaces; governance/standards</t>
  </si>
  <si>
    <t>463</t>
  </si>
  <si>
    <t>Realizing Closed-Loop Supply Chain Networks based on Dataspaces and Manufacturing Marketplaces</t>
  </si>
  <si>
    <t>Kunz, L; Reif, M; Petzsche, T; Schmallenbach, A; Plociennik, C; Ruskowski, M</t>
  </si>
  <si>
    <t>10.1016/j.ifacol.2024.09.177</t>
  </si>
  <si>
    <t>http://dx.doi.org/10.1016/j.ifacol.2024.09.177</t>
  </si>
  <si>
    <t>20</t>
  </si>
  <si>
    <t>Energy conservation and carbon reduction performance of small new energy vehicles based on a nudge and penalty strategy</t>
  </si>
  <si>
    <t>Zhendong Zhou and Shuwei Jia and Jianjun Zhang</t>
  </si>
  <si>
    <t>Science of The Total Environment</t>
  </si>
  <si>
    <t>10.1016/j.scitotenv.2025.180562</t>
  </si>
  <si>
    <t>https://doi.org/10.1016/j.scitotenv.2025.180562</t>
  </si>
  <si>
    <t>governance/standards</t>
  </si>
  <si>
    <t>443</t>
  </si>
  <si>
    <t>Innovative Approaches to Holistic Cleaner Production Audit in the Automotive Manufacturing Industry</t>
  </si>
  <si>
    <t>Zhuming Lv and Houjian Yang and Bin Jiang and Wenming Li and Hui Sun and Chen Chen and Zeyu Lyu</t>
  </si>
  <si>
    <t>Cleaner Manufacturing</t>
  </si>
  <si>
    <t>10.1016/j.clman.2026.100002</t>
  </si>
  <si>
    <t>https://doi.org/10.1016/j.clman.2026.100002</t>
  </si>
  <si>
    <t>limited topical fit</t>
  </si>
  <si>
    <t>438</t>
  </si>
  <si>
    <t>Latecomer upgrading in relational supplier-buyer arrangements: The integration of German machinery firms in Chinese dominated electric vehicle battery production markets</t>
  </si>
  <si>
    <t>Olga Sorokina and Julian Schwabe</t>
  </si>
  <si>
    <t>Progress in Economic Geography</t>
  </si>
  <si>
    <t>10.1016/j.peg.2025.100059</t>
  </si>
  <si>
    <t>https://doi.org/10.1016/j.peg.2025.100059</t>
  </si>
  <si>
    <t>454</t>
  </si>
  <si>
    <t>Masters of mudbrick: Geoarchaeological analysis of Iron Age earthen public buildings at Ashdod-Yam (Israel)</t>
  </si>
  <si>
    <t>Lorenzon, M; Cutillas-Victoria, B; Itkin, E; Fantalkin, A</t>
  </si>
  <si>
    <t>GEOARCHAEOLOGY-AN INTERNATIONAL JOURNAL</t>
  </si>
  <si>
    <t>10.1002/gea.21977</t>
  </si>
  <si>
    <t>http://dx.doi.org/10.1002/gea.21977</t>
  </si>
  <si>
    <t>466</t>
  </si>
  <si>
    <t>Self-sovereign identity adoption: Antecedents and potential outcomes</t>
  </si>
  <si>
    <t>Gabriella Laatikainen and Mekhail Mustak and Nicky Hickman</t>
  </si>
  <si>
    <t>10.1016/j.techsoc.2025.102859</t>
  </si>
  <si>
    <t>https://doi.org/10.1016/j.techsoc.2025.102859</t>
  </si>
  <si>
    <t>data ecosystems/data spaces; governance/standards</t>
  </si>
  <si>
    <t>448</t>
  </si>
  <si>
    <t>Ten questions concerning digital transformation for a circular built environment</t>
  </si>
  <si>
    <t>Catherine {De Wolf} and Ana Bendiek-Laranjo and Clara Blum and Vanessa Costalonga and Oceane Durand-Maniclas and Zain Karsan and Thibaut Menny and Beril Önalan and Vanessa Schwarzkopf and Heidi Silvennoinen and Silvia Vangelova and Bayonle Windapo</t>
  </si>
  <si>
    <t>Building and Environment</t>
  </si>
  <si>
    <t>10.1016/j.buildenv.2026.114361</t>
  </si>
  <si>
    <t>https://doi.org/10.1016/j.buildenv.2026.114361</t>
  </si>
  <si>
    <t>data ecosystems/data spaces; governance/standards; DSR-support</t>
  </si>
  <si>
    <t>437</t>
  </si>
  <si>
    <t>Use Cases of the Application Reference Model in IRAN</t>
  </si>
  <si>
    <t>Haghighi, H; Mobasheri, M; Kaleibar, FJ; Hoseini, F</t>
  </si>
  <si>
    <t>PROCEEDINGS OF THE 21ST INTERNATIONAL CONFERENCE ON ENTERPRISE INFORMATION SYSTEMS (ICEIS 2019), VOL 2</t>
  </si>
  <si>
    <t>SCITEPRESS</t>
  </si>
  <si>
    <t>10.5220/0007762706740681</t>
  </si>
  <si>
    <t>http://dx.doi.org/10.5220/0007762706740681</t>
  </si>
  <si>
    <t>explicit EA; governance/standards</t>
  </si>
  <si>
    <t>470</t>
  </si>
  <si>
    <t>Enterprise Architecture Implementation Is a Bumpy Ride: A Case Study in the Norwegian Public Sector</t>
  </si>
  <si>
    <t>Ajer, A. K. S.; Olsen, D. H.</t>
  </si>
  <si>
    <t>Electronic Journal of E-Government</t>
  </si>
  <si>
    <t>Academic Conferences International</t>
  </si>
  <si>
    <t>10.34190/EJEG.17.2.002</t>
  </si>
  <si>
    <t>https://doi.org/10.34190/EJEG.17.2.002</t>
  </si>
  <si>
    <t>Enterprise architecture operationalization and institutional pluralism: The case of the Norwegian Hospital sector</t>
  </si>
  <si>
    <t>Ajer, A. K. S.; Hustad, E.; Vassilakopoulou, P.</t>
  </si>
  <si>
    <t>Information Systems Journal</t>
  </si>
  <si>
    <t>Wiley</t>
  </si>
  <si>
    <t>10.1111/isj.12324</t>
  </si>
  <si>
    <t>https://doi.org/10.1111/isj.12324</t>
  </si>
  <si>
    <t>Systematic Literature Review on Enterprise Architecture in the Public Sector</t>
  </si>
  <si>
    <t>Dang, D. D.; Pekkola, S.</t>
  </si>
  <si>
    <t>Electronic Journal of e-Government</t>
  </si>
  <si>
    <t>TOGAF-based Enterprise Architecture Practice: An Exploratory Case Study</t>
  </si>
  <si>
    <t>Kotusev, S.</t>
  </si>
  <si>
    <t>10.17705/1CAIS.04320</t>
  </si>
  <si>
    <t>https://doi.org/10.17705/1CAIS.04320</t>
  </si>
  <si>
    <t>The Design of Focus Area Maturity Models</t>
  </si>
  <si>
    <t>Van Steenbergen, M.; Bos, R.; Brinkkemper, S.; Van De Weerd, I.; Bekkers, W.</t>
  </si>
  <si>
    <t>Global Perspectives on Design Science Research (LNCS 6105)</t>
  </si>
  <si>
    <t>Springer</t>
  </si>
  <si>
    <t>10.1007/978-3-642-13335-0_22</t>
  </si>
  <si>
    <t>https://doi.org/10.1007/978-3-642-13335-0_22</t>
  </si>
  <si>
    <t>Framework for interoperable service architecture development</t>
  </si>
  <si>
    <t>Schmitz, A.; Wimmer, M. A.</t>
  </si>
  <si>
    <t>10.1016/j.giq.2023.101869</t>
  </si>
  <si>
    <t>https://doi.org/10.1016/j.giq.2023.101869</t>
  </si>
  <si>
    <t>Framework for designing interoperable public service architectures with exemplification along small-scale procurement and PEPPOL</t>
  </si>
  <si>
    <t>Schmitz, A.; Mondorf, A.; Wimmer, M. A.</t>
  </si>
  <si>
    <t>DG.O 2022 — 23rd Annual International Conference on Digital Government Research</t>
  </si>
  <si>
    <t>10.1145/3543434.3543473</t>
  </si>
  <si>
    <t>https://doi.org/10.1145/3543434.3543473</t>
  </si>
  <si>
    <t>Reconceptualising the 'policy mix' for innovation</t>
  </si>
  <si>
    <t>Flanagan, K.; Uyarra, E.; Laranja, M.</t>
  </si>
  <si>
    <t>10.1016/j.respol.2011.02.005</t>
  </si>
  <si>
    <t>https://doi.org/10.1016/j.respol.2011.02.005</t>
  </si>
  <si>
    <t>Analysing the past to prepare for the future: Writing a literature review</t>
  </si>
  <si>
    <t>Webster, J.; Watson, R. T.</t>
  </si>
  <si>
    <t>xiii</t>
  </si>
  <si>
    <t>xxiii</t>
  </si>
  <si>
    <t>Analysing the past to prepare for the future: Writing a literature review a roadmap for release 2.0</t>
  </si>
  <si>
    <t>Watson, R. T.; Webster, J.</t>
  </si>
  <si>
    <t>Journal of Decision Systems</t>
  </si>
  <si>
    <t>Taylor &amp; Francis</t>
  </si>
  <si>
    <t>10.1080/12460125.2020.1798591</t>
  </si>
  <si>
    <t>https://doi.org/10.1080/12460125.2020.1798591</t>
  </si>
  <si>
    <t>Method update of Webster &amp; Watson 2002</t>
  </si>
  <si>
    <t>Organizing knowledge syntheses: A taxonomy of literature reviews</t>
  </si>
  <si>
    <t>Cooper, H. M.</t>
  </si>
  <si>
    <t>Knowledge in Society</t>
  </si>
  <si>
    <t>10.1007/BF03177550</t>
  </si>
  <si>
    <t>https://doi.org/10.1007/BF03177550</t>
  </si>
  <si>
    <t>Foundational review-typology reference</t>
  </si>
  <si>
    <t>Weight of Evidence: A framework for the appraisal of the quality and relevance of evidence</t>
  </si>
  <si>
    <t>Gough, D.</t>
  </si>
  <si>
    <t>Research Papers in Education</t>
  </si>
  <si>
    <t>10.1080/02671520701296189</t>
  </si>
  <si>
    <t>https://doi.org/10.1080/02671520701296189</t>
  </si>
  <si>
    <t>Evidence-appraisal framework</t>
  </si>
  <si>
    <t>Synthesizing information systems knowledge: A typology of literature reviews</t>
  </si>
  <si>
    <t>Paré, G.; Trudel, M.-C.; Jaana, M.; Kitsiou, S.</t>
  </si>
  <si>
    <t>10.1016/j.im.2014.08.008</t>
  </si>
  <si>
    <t>https://doi.org/10.1016/j.im.2014.08.008</t>
  </si>
  <si>
    <t>IS-specific review typology</t>
  </si>
  <si>
    <t>Total</t>
  </si>
  <si>
    <t>Legend:</t>
  </si>
  <si>
    <t>Weighted_Total =
0.35 * Foundationality_1_5 +
0.35 * Topic_Fit_1_5 +
0.20 * Outlet_Quality_1_5 +
0.10 * (Bridge_Value_0_3 / 3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</si>
</sst>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theme="1"/>
      <name val="Aptos Narrow"/>
      <family val="2"/>
      <scheme val="minor"/>
    </font>
    <font>
      <b/>
      <sz val="24"/>
      <color theme="1"/>
      <name val="Arial"/>
      <family val="2"/>
    </font>
    <font>
      <sz val="11"/>
      <color theme="1"/>
      <name val="Arial"/>
      <family val="2"/>
    </font>
    <font>
      <sz val="11"/>
      <name val="Arial"/>
      <family val="2"/>
    </font>
    <font>
      <u/>
      <sz val="11"/>
      <color theme="10"/>
      <name val="Aptos Narrow"/>
      <family val="2"/>
      <scheme val="minor"/>
    </font>
    <font>
      <b/>
      <sz val="11"/>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tint="0.59999389629810485"/>
        <bgColor indexed="64"/>
      </patternFill>
    </fill>
  </fills>
  <borders count="1">
    <border>
      <left/>
      <right/>
      <top/>
      <bottom/>
      <diagonal/>
    </border>
  </borders>
  <cellStyleXfs count="3">
    <xf numFmtId="0" fontId="0" fillId="0" borderId="0"/>
    <xf numFmtId="0" fontId="1" fillId="0" borderId="0"/>
    <xf numFmtId="0" fontId="5" fillId="0" borderId="0" applyNumberFormat="0" applyFill="0" applyBorder="0" applyAlignment="0" applyProtection="0"/>
  </cellStyleXfs>
  <cellXfs count="20">
    <xf numFmtId="0" fontId="0" fillId="0" borderId="0" xfId="0"/>
    <xf numFmtId="0" fontId="2" fillId="0" borderId="0" xfId="1" applyFont="1"/>
    <xf numFmtId="0" fontId="3" fillId="0" borderId="0" xfId="1" applyFont="1"/>
    <xf numFmtId="0" fontId="3" fillId="0" borderId="0" xfId="1" applyFont="1" applyAlignment="1">
      <alignment horizontal="center"/>
    </xf>
    <xf numFmtId="0" fontId="3" fillId="0" borderId="0" xfId="1" applyFont="1" applyAlignment="1">
      <alignment horizontal="left"/>
    </xf>
    <xf numFmtId="0" fontId="1" fillId="0" borderId="0" xfId="1" applyAlignment="1">
      <alignment horizontal="center" vertical="top" wrapText="1"/>
    </xf>
    <xf numFmtId="0" fontId="4" fillId="2" borderId="0" xfId="1" applyFont="1" applyFill="1"/>
    <xf numFmtId="0" fontId="1" fillId="3" borderId="0" xfId="1" applyFill="1" applyAlignment="1">
      <alignment horizontal="center" vertical="top" wrapText="1"/>
    </xf>
    <xf numFmtId="0" fontId="1" fillId="0" borderId="0" xfId="1" applyAlignment="1">
      <alignment vertical="top" wrapText="1"/>
    </xf>
    <xf numFmtId="0" fontId="5" fillId="0" borderId="0" xfId="2" applyFill="1" applyBorder="1" applyAlignment="1" applyProtection="1">
      <alignment vertical="top" wrapText="1"/>
    </xf>
    <xf numFmtId="0" fontId="1" fillId="0" borderId="0" xfId="1" applyAlignment="1">
      <alignment horizontal="left" vertical="top" wrapText="1"/>
    </xf>
    <xf numFmtId="0" fontId="1" fillId="4" borderId="0" xfId="1" applyFill="1" applyAlignment="1">
      <alignment horizontal="center" vertical="top" wrapText="1"/>
    </xf>
    <xf numFmtId="0" fontId="1" fillId="4" borderId="0" xfId="1" applyFill="1" applyAlignment="1">
      <alignment horizontal="left" vertical="top" wrapText="1"/>
    </xf>
    <xf numFmtId="0" fontId="0" fillId="0" borderId="0" xfId="2" applyFont="1" applyFill="1" applyBorder="1" applyAlignment="1" applyProtection="1">
      <alignment vertical="top" wrapText="1"/>
    </xf>
    <xf numFmtId="0" fontId="1" fillId="5" borderId="0" xfId="1" applyFill="1" applyAlignment="1">
      <alignment horizontal="center" vertical="top" wrapText="1"/>
    </xf>
    <xf numFmtId="0" fontId="1" fillId="5" borderId="0" xfId="1" applyFill="1" applyAlignment="1">
      <alignment vertical="top" wrapText="1"/>
    </xf>
    <xf numFmtId="2" fontId="1" fillId="0" borderId="0" xfId="1" applyNumberFormat="1" applyAlignment="1">
      <alignment horizontal="center" vertical="top" wrapText="1"/>
    </xf>
    <xf numFmtId="0" fontId="0" fillId="0" borderId="0" xfId="2" applyFont="1" applyFill="1" applyBorder="1" applyAlignment="1">
      <alignment vertical="top" wrapText="1"/>
    </xf>
    <xf numFmtId="0" fontId="1" fillId="0" borderId="0" xfId="1"/>
    <xf numFmtId="0" fontId="6" fillId="0" borderId="0" xfId="1" applyFont="1"/>
  </cellXfs>
  <cellStyles count="3">
    <cellStyle name="Hyperlink 2" xfId="2" xr:uid="{314A249D-D236-8A4B-8AFB-47BDCE2A6BBD}"/>
    <cellStyle name="Normal" xfId="0" builtinId="0"/>
    <cellStyle name="Normal 2" xfId="1" xr:uid="{53640465-50D6-4447-9041-50141C065B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2</xdr:col>
      <xdr:colOff>0</xdr:colOff>
      <xdr:row>2</xdr:row>
      <xdr:rowOff>0</xdr:rowOff>
    </xdr:to>
    <mc:AlternateContent xmlns:mc="http://schemas.openxmlformats.org/markup-compatibility/2006">
      <mc:Choice xmlns:sle15="http://schemas.microsoft.com/office/drawing/2012/slicer" Requires="sle15">
        <xdr:graphicFrame macro="">
          <xdr:nvGraphicFramePr>
            <xdr:cNvPr id="2" name="Selected Papers">
              <a:extLst>
                <a:ext uri="{FF2B5EF4-FFF2-40B4-BE49-F238E27FC236}">
                  <a16:creationId xmlns:a16="http://schemas.microsoft.com/office/drawing/2014/main" id="{264F7642-7867-374F-BFB7-25476A2DBD78}"/>
                </a:ext>
              </a:extLst>
            </xdr:cNvPr>
            <xdr:cNvGraphicFramePr/>
          </xdr:nvGraphicFramePr>
          <xdr:xfrm>
            <a:off x="0" y="0"/>
            <a:ext cx="0" cy="0"/>
          </xdr:xfrm>
          <a:graphic>
            <a:graphicData uri="http://schemas.microsoft.com/office/drawing/2010/slicer">
              <sle:slicer xmlns:sle="http://schemas.microsoft.com/office/drawing/2010/slicer" name="Selected Papers"/>
            </a:graphicData>
          </a:graphic>
        </xdr:graphicFrame>
      </mc:Choice>
      <mc:Fallback>
        <xdr:sp macro="" textlink="">
          <xdr:nvSpPr>
            <xdr:cNvPr id="0" name=""/>
            <xdr:cNvSpPr>
              <a:spLocks noTextEdit="1"/>
            </xdr:cNvSpPr>
          </xdr:nvSpPr>
          <xdr:spPr>
            <a:xfrm>
              <a:off x="0" y="381000"/>
              <a:ext cx="3695700" cy="195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25400</xdr:colOff>
      <xdr:row>1</xdr:row>
      <xdr:rowOff>0</xdr:rowOff>
    </xdr:from>
    <xdr:to>
      <xdr:col>4</xdr:col>
      <xdr:colOff>0</xdr:colOff>
      <xdr:row>2</xdr:row>
      <xdr:rowOff>0</xdr:rowOff>
    </xdr:to>
    <mc:AlternateContent xmlns:mc="http://schemas.openxmlformats.org/markup-compatibility/2006">
      <mc:Choice xmlns:sle15="http://schemas.microsoft.com/office/drawing/2012/slicer" Requires="sle15">
        <xdr:graphicFrame macro="">
          <xdr:nvGraphicFramePr>
            <xdr:cNvPr id="3" name="Theme_Primary">
              <a:extLst>
                <a:ext uri="{FF2B5EF4-FFF2-40B4-BE49-F238E27FC236}">
                  <a16:creationId xmlns:a16="http://schemas.microsoft.com/office/drawing/2014/main" id="{FD7E2065-1C23-5B44-9D28-7DC04277A731}"/>
                </a:ext>
              </a:extLst>
            </xdr:cNvPr>
            <xdr:cNvGraphicFramePr/>
          </xdr:nvGraphicFramePr>
          <xdr:xfrm>
            <a:off x="0" y="0"/>
            <a:ext cx="0" cy="0"/>
          </xdr:xfrm>
          <a:graphic>
            <a:graphicData uri="http://schemas.microsoft.com/office/drawing/2010/slicer">
              <sle:slicer xmlns:sle="http://schemas.microsoft.com/office/drawing/2010/slicer" name="Theme_Primary"/>
            </a:graphicData>
          </a:graphic>
        </xdr:graphicFrame>
      </mc:Choice>
      <mc:Fallback>
        <xdr:sp macro="" textlink="">
          <xdr:nvSpPr>
            <xdr:cNvPr id="0" name=""/>
            <xdr:cNvSpPr>
              <a:spLocks noTextEdit="1"/>
            </xdr:cNvSpPr>
          </xdr:nvSpPr>
          <xdr:spPr>
            <a:xfrm>
              <a:off x="5600700" y="381000"/>
              <a:ext cx="1879600" cy="195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0</xdr:colOff>
      <xdr:row>1</xdr:row>
      <xdr:rowOff>0</xdr:rowOff>
    </xdr:from>
    <xdr:to>
      <xdr:col>3</xdr:col>
      <xdr:colOff>0</xdr:colOff>
      <xdr:row>2</xdr:row>
      <xdr:rowOff>0</xdr:rowOff>
    </xdr:to>
    <mc:AlternateContent xmlns:mc="http://schemas.openxmlformats.org/markup-compatibility/2006">
      <mc:Choice xmlns:sle15="http://schemas.microsoft.com/office/drawing/2012/slicer" Requires="sle15">
        <xdr:graphicFrame macro="">
          <xdr:nvGraphicFramePr>
            <xdr:cNvPr id="4" name="Core_Subset_incl." descr="These papers are included in the core subset.">
              <a:extLst>
                <a:ext uri="{FF2B5EF4-FFF2-40B4-BE49-F238E27FC236}">
                  <a16:creationId xmlns:a16="http://schemas.microsoft.com/office/drawing/2014/main" id="{2FF5119E-E28D-FB4D-B204-BEBF61E69D48}"/>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Core_Subset_incl."/>
            </a:graphicData>
          </a:graphic>
        </xdr:graphicFrame>
      </mc:Choice>
      <mc:Fallback>
        <xdr:sp macro="" textlink="">
          <xdr:nvSpPr>
            <xdr:cNvPr id="0" name=""/>
            <xdr:cNvSpPr>
              <a:spLocks noTextEdit="1"/>
            </xdr:cNvSpPr>
          </xdr:nvSpPr>
          <xdr:spPr>
            <a:xfrm>
              <a:off x="3695700" y="381000"/>
              <a:ext cx="1879600" cy="195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ected" xr10:uid="{8485B7B7-2BFA-8C49-95B9-0F8ACF3C7AF4}" sourceName="Selected">
  <extLst>
    <x:ext xmlns:x15="http://schemas.microsoft.com/office/spreadsheetml/2010/11/main" uri="{2F2917AC-EB37-4324-AD4E-5DD8C200BD13}">
      <x15:tableSlicerCache tableId="1" column="1" sortOrder="descending"/>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e_Primary" xr10:uid="{B6C8F6C3-2C4F-C14D-B8C1-DFE7F970D592}" sourceName="Theme_Primary">
  <extLst>
    <x:ext xmlns:x15="http://schemas.microsoft.com/office/spreadsheetml/2010/11/main" uri="{2F2917AC-EB37-4324-AD4E-5DD8C200BD13}">
      <x15:tableSlicerCache tableId="1" column="2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e_Subset_incl." xr10:uid="{42609D7D-2244-7140-A21B-AE2FE9F4A586}" sourceName="Core_Subset_incl.">
  <extLst>
    <x:ext xmlns:x15="http://schemas.microsoft.com/office/spreadsheetml/2010/11/main" uri="{2F2917AC-EB37-4324-AD4E-5DD8C200BD13}">
      <x15:tableSlicerCache tableId="1" column="43"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ed Papers" xr10:uid="{56B85F5E-9FC1-0E45-958F-F4D26C95C0A2}" cache="Slicer_Selected" caption="Is selected?" rowHeight="230716"/>
  <slicer name="Theme_Primary" xr10:uid="{46D4EA04-C1CA-F84E-966E-DC3BBC14C8E1}" cache="Slicer_Theme_Primary" caption="Primary Theme" style="SlicerStyleLight3" rowHeight="230716"/>
  <slicer name="Core_Subset_incl." xr10:uid="{C90C7D7B-9193-AC48-9497-E33EBB9AE911}" cache="Slicer_Core_Subset_incl." caption="Is Core Subset?"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06FEF4-A93D-8748-AD55-3BA792B50F8E}" name="Lit_rev_final" displayName="Lit_rev_final" ref="A3:AC405" totalsRowCount="1">
  <autoFilter ref="A3:AC404" xr:uid="{5FCF6CDA-511F-BC49-979C-A2D7690F10BA}">
    <filterColumn colId="11">
      <filters>
        <filter val="2026-02-24"/>
        <filter val="2026-02-25"/>
      </filters>
    </filterColumn>
  </autoFilter>
  <sortState xmlns:xlrd2="http://schemas.microsoft.com/office/spreadsheetml/2017/richdata2" ref="A4:AC391">
    <sortCondition descending="1" ref="X3:X391"/>
  </sortState>
  <tableColumns count="29">
    <tableColumn id="1" xr3:uid="{8CB39A0B-561F-0A4D-B8F8-BBF39627F8FC}" name="Selected" totalsRowLabel="Total"/>
    <tableColumn id="10" xr3:uid="{DAAB0865-2004-BD40-A925-6D71BE4F1FB6}" name="Title" totalsRowFunction="count"/>
    <tableColumn id="9" xr3:uid="{F9293050-7D31-1743-810A-01E82A90BF93}" name="Authors"/>
    <tableColumn id="11" xr3:uid="{C24DD13D-3438-2B4D-9A9A-736DA210CEDA}" name="Outlet"/>
    <tableColumn id="12" xr3:uid="{1095EBE4-4BD0-1C41-9C6E-8F5B7417F7EE}" name="Publisher"/>
    <tableColumn id="13" xr3:uid="{DED03976-B8F3-A54F-94BA-59A07BCE46EC}" name="Publication_Year"/>
    <tableColumn id="14" xr3:uid="{1F55FD7F-5327-704F-90CC-8DAA7839F5E6}" name="Start_Page"/>
    <tableColumn id="15" xr3:uid="{C67D7503-E832-4943-88B3-85BF3C49A567}" name="End_Page"/>
    <tableColumn id="5" xr3:uid="{EA286B81-4B37-B04D-BACA-7874A1529BAF}" name="Original_DOI"/>
    <tableColumn id="6" xr3:uid="{229004DC-DCE0-5542-9340-1508EF0A5459}" name="DOI_Link"/>
    <tableColumn id="3" xr3:uid="{E7E23298-0DDA-BA48-8C92-64FEF3B4EF32}" name="Source_Database"/>
    <tableColumn id="16" xr3:uid="{766A8EBF-88C0-B442-98F7-D7FEE6AE0EA1}" name="Date_of_Export"/>
    <tableColumn id="17" xr3:uid="{205E6D07-C13D-1B42-8CA3-A032FCA468A6}" name="Document_Type"/>
    <tableColumn id="8" xr3:uid="{E46E55DC-DD46-7E4D-BF95-FD29E036B02E}" name="Search_Origin"/>
    <tableColumn id="20" xr3:uid="{A1DA5BEB-88D3-9347-8DEF-7442DEEB18BA}" name="Theme_Primary"/>
    <tableColumn id="22" xr3:uid="{9DB34022-E092-9F48-B5CC-F43E01B2BC16}" name="Tier"/>
    <tableColumn id="28" xr3:uid="{09F1407C-6C3F-0E4E-8D1C-852C8A2CB02F}" name="VHB_Rating"/>
    <tableColumn id="29" xr3:uid="{CFF705DC-6E07-D74A-ABCC-F34C297EAD16}" name="Litbasket"/>
    <tableColumn id="30" xr3:uid="{D411803B-8D42-3246-9230-2C05E78D8A69}" name="Rating_Source"/>
    <tableColumn id="32" xr3:uid="{63CEAAB3-B3C7-5246-996B-0AACE60C8A3F}" name="Foundationality_1_5"/>
    <tableColumn id="33" xr3:uid="{B0F771EA-38D2-0344-BEF0-51A80DA12124}" name="Topic_Fit_1_5"/>
    <tableColumn id="34" xr3:uid="{BB0E12FC-BA15-3B41-AA8D-8A1912ACCA67}" name="Outlet_Quality_1_5"/>
    <tableColumn id="35" xr3:uid="{C642E7DE-FAFD-4643-9B55-3031ABDC111C}" name="Bridge_Value_0_3"/>
    <tableColumn id="36" xr3:uid="{4E609EF0-A2FF-2040-8A6A-6BAF82486DAB}" name="Weighted_Total (legend)"/>
    <tableColumn id="38" xr3:uid="{C9427A40-1F97-274D-8DB2-66A803F24DC6}" name="justification_note"/>
    <tableColumn id="43" xr3:uid="{BBFC87AE-E25A-EF4A-81E8-FA861C1F9101}" name="Core_Subset_incl."/>
    <tableColumn id="45" xr3:uid="{A6CFD6B6-AB55-8D4C-818F-5D6C95B0235A}" name="Chapter_Core_Category"/>
    <tableColumn id="47" xr3:uid="{36E3D0E9-45B2-7A49-82F2-9AC1BFADFAE5}" name="Core_Reason"/>
    <tableColumn id="4" xr3:uid="{E07FE4B7-0954-AE44-8937-7BD788322CEC}" name="Og_ID" totalsRowFunction="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105009625589&amp;doi=10.1002%2Fbse.70065&amp;partnerID=40&amp;md5=5192663838ce616f26708a8920ae6f25" TargetMode="External"/><Relationship Id="rId299" Type="http://schemas.openxmlformats.org/officeDocument/2006/relationships/hyperlink" Target="http://dx.doi.org/10.1108/ECAM-08-2024-1077" TargetMode="External"/><Relationship Id="rId21" Type="http://schemas.openxmlformats.org/officeDocument/2006/relationships/hyperlink" Target="https://doi.org/10.1057/ejis.2010.68" TargetMode="External"/><Relationship Id="rId63" Type="http://schemas.openxmlformats.org/officeDocument/2006/relationships/hyperlink" Target="https://ieeexplore.ieee.org/stamp/stamp.jsp?arnumber=8246045" TargetMode="External"/><Relationship Id="rId159" Type="http://schemas.openxmlformats.org/officeDocument/2006/relationships/hyperlink" Target="http://dx.doi.org/10.1007/s12008-025-02229-2" TargetMode="External"/><Relationship Id="rId324" Type="http://schemas.openxmlformats.org/officeDocument/2006/relationships/hyperlink" Target="https://www.scopus.com/inward/record.uri?eid=2-s2.0-105020914363&amp;doi=10.62754%2Fais.v6i3.226&amp;partnerID=40&amp;md5=aff6a95f839e4edb5100027fad025425" TargetMode="External"/><Relationship Id="rId366" Type="http://schemas.openxmlformats.org/officeDocument/2006/relationships/hyperlink" Target="https://doi.org/27" TargetMode="External"/><Relationship Id="rId170" Type="http://schemas.openxmlformats.org/officeDocument/2006/relationships/hyperlink" Target="https://ieeexplore.ieee.org/stamp/stamp.jsp?arnumber=11108615" TargetMode="External"/><Relationship Id="rId226" Type="http://schemas.openxmlformats.org/officeDocument/2006/relationships/hyperlink" Target="http://dx.doi.org/10.1108/JBIM-01-2012-0010" TargetMode="External"/><Relationship Id="rId268" Type="http://schemas.openxmlformats.org/officeDocument/2006/relationships/hyperlink" Target="http://dx.doi.org/10.1016/j.jclepro.2022.134424" TargetMode="External"/><Relationship Id="rId32" Type="http://schemas.openxmlformats.org/officeDocument/2006/relationships/hyperlink" Target="https://doi.org/10.1016/j.respol.2019.103844" TargetMode="External"/><Relationship Id="rId74" Type="http://schemas.openxmlformats.org/officeDocument/2006/relationships/hyperlink" Target="https://doi.org/10.1016/j.jbusres.2023.114259" TargetMode="External"/><Relationship Id="rId128" Type="http://schemas.openxmlformats.org/officeDocument/2006/relationships/hyperlink" Target="https://www.scopus.com/inward/record.uri?eid=2-s2.0-105003811732&amp;doi=10.1515%2Fzwf-2025-1023&amp;partnerID=40&amp;md5=9b11406a8647d5e641586c08d194b384" TargetMode="External"/><Relationship Id="rId335" Type="http://schemas.openxmlformats.org/officeDocument/2006/relationships/hyperlink" Target="http://dx.doi.org/10.1002/sd.3332" TargetMode="External"/><Relationship Id="rId377" Type="http://schemas.openxmlformats.org/officeDocument/2006/relationships/hyperlink" Target="https://doi.org/10.2307/25148625" TargetMode="External"/><Relationship Id="rId5" Type="http://schemas.openxmlformats.org/officeDocument/2006/relationships/hyperlink" Target="https://doi.org/10.1145/1107499.1107502" TargetMode="External"/><Relationship Id="rId181" Type="http://schemas.openxmlformats.org/officeDocument/2006/relationships/hyperlink" Target="http://dx.doi.org/10.1109/JRFID.2025.3633612" TargetMode="External"/><Relationship Id="rId237" Type="http://schemas.openxmlformats.org/officeDocument/2006/relationships/hyperlink" Target="http://dx.doi.org/10.1002/hpm.2443" TargetMode="External"/><Relationship Id="rId279" Type="http://schemas.openxmlformats.org/officeDocument/2006/relationships/hyperlink" Target="http://dx.doi.org/10.1177/20552076231219113" TargetMode="External"/><Relationship Id="rId43" Type="http://schemas.openxmlformats.org/officeDocument/2006/relationships/hyperlink" Target="http://dx.doi.org/10.3390/systems12040137" TargetMode="External"/><Relationship Id="rId139" Type="http://schemas.openxmlformats.org/officeDocument/2006/relationships/hyperlink" Target="http://dx.doi.org/10.1007/978-3-031-93995-2_14" TargetMode="External"/><Relationship Id="rId290" Type="http://schemas.openxmlformats.org/officeDocument/2006/relationships/hyperlink" Target="http://dx.doi.org/10.3390/admsci14020023" TargetMode="External"/><Relationship Id="rId304" Type="http://schemas.openxmlformats.org/officeDocument/2006/relationships/hyperlink" Target="http://dx.doi.org/10.3390/buildings15152798" TargetMode="External"/><Relationship Id="rId346" Type="http://schemas.openxmlformats.org/officeDocument/2006/relationships/hyperlink" Target="https://www.scopus.com/inward/record.uri?eid=2-s2.0-105027289799&amp;doi=10.22598%2Fiele.2025.12.2.1&amp;partnerID=40&amp;md5=ba4f11537269f7dd627dc06ca8e2b5bc" TargetMode="External"/><Relationship Id="rId85" Type="http://schemas.openxmlformats.org/officeDocument/2006/relationships/hyperlink" Target="http://dx.doi.org/10.1016/j.procir.2024.02.026" TargetMode="External"/><Relationship Id="rId150" Type="http://schemas.openxmlformats.org/officeDocument/2006/relationships/hyperlink" Target="http://dx.doi.org/10.1007/978-3-031-76597-1_20" TargetMode="External"/><Relationship Id="rId192" Type="http://schemas.openxmlformats.org/officeDocument/2006/relationships/hyperlink" Target="https://ieeexplore.ieee.org/stamp/stamp.jsp?arnumber=11166326" TargetMode="External"/><Relationship Id="rId206" Type="http://schemas.openxmlformats.org/officeDocument/2006/relationships/hyperlink" Target="https://www.scopus.com/inward/record.uri?eid=2-s2.0-105021398428&amp;doi=10.1007%2F978-3-032-09040-9_1&amp;partnerID=40&amp;md5=6c9da6aa14eb6bd4a24a6fa0d967f96e" TargetMode="External"/><Relationship Id="rId248" Type="http://schemas.openxmlformats.org/officeDocument/2006/relationships/hyperlink" Target="https://www.scopus.com/inward/record.uri?eid=2-s2.0-85088658831&amp;doi=10.3390%2Fsu12145550&amp;partnerID=40&amp;md5=3a3dee4a835a7894751ec2ce67bf20aa" TargetMode="External"/><Relationship Id="rId12" Type="http://schemas.openxmlformats.org/officeDocument/2006/relationships/hyperlink" Target="http://dx.doi.org/10.1016/j.spc.2024.05.007" TargetMode="External"/><Relationship Id="rId108" Type="http://schemas.openxmlformats.org/officeDocument/2006/relationships/hyperlink" Target="https://www.scopus.com/inward/record.uri?eid=2-s2.0-85193535658&amp;doi=10.1016%2Fj.procir.2024.02.020&amp;partnerID=40&amp;md5=31f3d8b5581654027f26af79fff02fa6" TargetMode="External"/><Relationship Id="rId315" Type="http://schemas.openxmlformats.org/officeDocument/2006/relationships/hyperlink" Target="https://www.scopus.com/inward/record.uri?eid=2-s2.0-105017120028&amp;doi=10.3233%2FATDE250510&amp;partnerID=40&amp;md5=b7bfd7d13dc904cad4e5a464e438ed26" TargetMode="External"/><Relationship Id="rId357" Type="http://schemas.openxmlformats.org/officeDocument/2006/relationships/hyperlink" Target="https://www.scopus.com/inward/record.uri?eid=2-s2.0-85066961880&amp;partnerID=40&amp;md5=2b1b332edc4cd938417c4e3f2a24a92e" TargetMode="External"/><Relationship Id="rId54" Type="http://schemas.openxmlformats.org/officeDocument/2006/relationships/hyperlink" Target="https://doi.org/10.1016/j.jclepro.2024.144491" TargetMode="External"/><Relationship Id="rId96" Type="http://schemas.openxmlformats.org/officeDocument/2006/relationships/hyperlink" Target="https://ieeexplore.ieee.org/stamp/stamp.jsp?arnumber=10794320" TargetMode="External"/><Relationship Id="rId161" Type="http://schemas.openxmlformats.org/officeDocument/2006/relationships/hyperlink" Target="https://www.scopus.com/inward/record.uri?eid=2-s2.0-86000310189&amp;doi=10.1016%2Fj.jbusres.2025.115284&amp;partnerID=40&amp;md5=43c61a3f607f1bec96376e2fcfee6c51" TargetMode="External"/><Relationship Id="rId217" Type="http://schemas.openxmlformats.org/officeDocument/2006/relationships/hyperlink" Target="https://www.scopus.com/inward/record.uri?eid=2-s2.0-105029592308&amp;doi=10.1016%2Fj.joitmc.2026.100736&amp;partnerID=40&amp;md5=de1009a2a0c2986b27d5fbe90654066a" TargetMode="External"/><Relationship Id="rId259" Type="http://schemas.openxmlformats.org/officeDocument/2006/relationships/hyperlink" Target="http://dx.doi.org/10.3390/su13158585" TargetMode="External"/><Relationship Id="rId23" Type="http://schemas.openxmlformats.org/officeDocument/2006/relationships/hyperlink" Target="https://doi.org/10.1057/ejis.2014.39" TargetMode="External"/><Relationship Id="rId119" Type="http://schemas.openxmlformats.org/officeDocument/2006/relationships/hyperlink" Target="http://dx.doi.org/10.1109/ICPS65515.2025.11087901" TargetMode="External"/><Relationship Id="rId270" Type="http://schemas.openxmlformats.org/officeDocument/2006/relationships/hyperlink" Target="http://dx.doi.org/10.1504/EJIE.2023.130598" TargetMode="External"/><Relationship Id="rId326" Type="http://schemas.openxmlformats.org/officeDocument/2006/relationships/hyperlink" Target="http://dx.doi.org/10.1108/IJLM-01-2025-0013" TargetMode="External"/><Relationship Id="rId65" Type="http://schemas.openxmlformats.org/officeDocument/2006/relationships/hyperlink" Target="https://www.scopus.com/inward/record.uri?eid=2-s2.0-85179504981&amp;doi=10.1109%2FIECON51785.2023.10312481&amp;partnerID=40&amp;md5=a4e31c19b97b5577d9ce1dbf66e6ec96" TargetMode="External"/><Relationship Id="rId130" Type="http://schemas.openxmlformats.org/officeDocument/2006/relationships/hyperlink" Target="https://www.scopus.com/inward/record.uri?eid=2-s2.0-105018188261&amp;doi=10.1109%2FEEITE65381.2025.11165814&amp;partnerID=40&amp;md5=e07eeaafe19ed940f7d1039bbd965eda" TargetMode="External"/><Relationship Id="rId368" Type="http://schemas.openxmlformats.org/officeDocument/2006/relationships/hyperlink" Target="https://www.scopus.com/inward/record.uri?eid=2-s2.0-85218674403&amp;partnerID=40&amp;md5=eb1982c916cf2efbed543d3e1516db67" TargetMode="External"/><Relationship Id="rId172" Type="http://schemas.openxmlformats.org/officeDocument/2006/relationships/hyperlink" Target="http://dx.doi.org/10.3390/app151810259" TargetMode="External"/><Relationship Id="rId228" Type="http://schemas.openxmlformats.org/officeDocument/2006/relationships/hyperlink" Target="https://www.scopus.com/inward/record.uri?eid=2-s2.0-85047222235&amp;doi=10.18803%2Fcapsi.v15.529-554&amp;partnerID=40&amp;md5=2dd01a9934bc0a6487c80c964b2ee28c" TargetMode="External"/><Relationship Id="rId281" Type="http://schemas.openxmlformats.org/officeDocument/2006/relationships/hyperlink" Target="https://www.scopus.com/inward/record.uri?eid=2-s2.0-85148572031&amp;doi=10.54648%2Feulr2023005&amp;partnerID=40&amp;md5=35865eb33229fabf2fa3c5c9921e3ce5" TargetMode="External"/><Relationship Id="rId337" Type="http://schemas.openxmlformats.org/officeDocument/2006/relationships/hyperlink" Target="http://dx.doi.org/10.1111/basr.70030" TargetMode="External"/><Relationship Id="rId34" Type="http://schemas.openxmlformats.org/officeDocument/2006/relationships/hyperlink" Target="https://doi.org/10.1016/j.respol.2020.104193" TargetMode="External"/><Relationship Id="rId76" Type="http://schemas.openxmlformats.org/officeDocument/2006/relationships/hyperlink" Target="https://doi.org/10.1145/3543873.3587685" TargetMode="External"/><Relationship Id="rId141" Type="http://schemas.openxmlformats.org/officeDocument/2006/relationships/hyperlink" Target="https://www.scopus.com/inward/record.uri?eid=2-s2.0-105013077042&amp;doi=10.1109%2FWETICE67341.2025.11092048&amp;partnerID=40&amp;md5=71f0bb7d8c1a54119713e63546a5bdda" TargetMode="External"/><Relationship Id="rId379" Type="http://schemas.openxmlformats.org/officeDocument/2006/relationships/hyperlink" Target="https://doi.org/10.17705/1jais.00495" TargetMode="External"/><Relationship Id="rId7" Type="http://schemas.openxmlformats.org/officeDocument/2006/relationships/hyperlink" Target="https://doi.org/10.1007/s12525-019-00362-x" TargetMode="External"/><Relationship Id="rId183" Type="http://schemas.openxmlformats.org/officeDocument/2006/relationships/hyperlink" Target="https://ieeexplore.ieee.org/stamp/stamp.jsp?arnumber=11206283" TargetMode="External"/><Relationship Id="rId239" Type="http://schemas.openxmlformats.org/officeDocument/2006/relationships/hyperlink" Target="http://dx.doi.org/10.1166/asl.2018.11137" TargetMode="External"/><Relationship Id="rId250" Type="http://schemas.openxmlformats.org/officeDocument/2006/relationships/hyperlink" Target="http://dx.doi.org/10.3389/fenrg.2020.576462" TargetMode="External"/><Relationship Id="rId292" Type="http://schemas.openxmlformats.org/officeDocument/2006/relationships/hyperlink" Target="http://dx.doi.org/10.1080/14719037.2024.2411630" TargetMode="External"/><Relationship Id="rId306" Type="http://schemas.openxmlformats.org/officeDocument/2006/relationships/hyperlink" Target="http://dx.doi.org/10.33327/AJEE-18-8.4-a000137" TargetMode="External"/><Relationship Id="rId45" Type="http://schemas.openxmlformats.org/officeDocument/2006/relationships/hyperlink" Target="https://doi.org/10.1016/j.procir.2024.12.028" TargetMode="External"/><Relationship Id="rId87" Type="http://schemas.openxmlformats.org/officeDocument/2006/relationships/hyperlink" Target="http://dx.doi.org/10.1007/978-3-031-74482-2_14" TargetMode="External"/><Relationship Id="rId110" Type="http://schemas.openxmlformats.org/officeDocument/2006/relationships/hyperlink" Target="https://www.scopus.com/inward/record.uri?eid=2-s2.0-105006441260&amp;doi=10.1145%2F3672608.3707870&amp;partnerID=40&amp;md5=d96bf60f2cc7f756d152be18ea140c3f" TargetMode="External"/><Relationship Id="rId348" Type="http://schemas.openxmlformats.org/officeDocument/2006/relationships/hyperlink" Target="https://doi.org/10.1016/j.procs.2026.02.153" TargetMode="External"/><Relationship Id="rId152" Type="http://schemas.openxmlformats.org/officeDocument/2006/relationships/hyperlink" Target="https://www.scopus.com/inward/record.uri?eid=2-s2.0-105023676683&amp;doi=10.1080%2F17579961.2025.2593771&amp;partnerID=40&amp;md5=4f57014db1058251a51ca8fec2995bf6" TargetMode="External"/><Relationship Id="rId194" Type="http://schemas.openxmlformats.org/officeDocument/2006/relationships/hyperlink" Target="https://ieeexplore.ieee.org/stamp/stamp.jsp?arnumber=11267454" TargetMode="External"/><Relationship Id="rId208" Type="http://schemas.openxmlformats.org/officeDocument/2006/relationships/hyperlink" Target="https://www.scopus.com/inward/record.uri?eid=2-s2.0-105029666123&amp;doi=10.1109%2FACCESS.2026.3660727&amp;partnerID=40&amp;md5=522698dd44a1ef5b17eb95259281be60" TargetMode="External"/><Relationship Id="rId261" Type="http://schemas.openxmlformats.org/officeDocument/2006/relationships/hyperlink" Target="http://dx.doi.org/10.1093/wbro/Ikab004" TargetMode="External"/><Relationship Id="rId14" Type="http://schemas.openxmlformats.org/officeDocument/2006/relationships/hyperlink" Target="http://dx.doi.org/10.1108/IJOPM-01-2024-0012" TargetMode="External"/><Relationship Id="rId56" Type="http://schemas.openxmlformats.org/officeDocument/2006/relationships/hyperlink" Target="https://doi.org/10.1016/j.joitmc.2026.100740" TargetMode="External"/><Relationship Id="rId317" Type="http://schemas.openxmlformats.org/officeDocument/2006/relationships/hyperlink" Target="http://dx.doi.org/10.3390/su17157106" TargetMode="External"/><Relationship Id="rId359" Type="http://schemas.openxmlformats.org/officeDocument/2006/relationships/hyperlink" Target="https://www.scopus.com/inward/record.uri?eid=2-s2.0-84974691267&amp;partnerID=40&amp;md5=e047d1e5f6f7bdbb64c032a444db3903" TargetMode="External"/><Relationship Id="rId98" Type="http://schemas.openxmlformats.org/officeDocument/2006/relationships/hyperlink" Target="https://www.scopus.com/inward/record.uri?eid=2-s2.0-85218032556&amp;doi=10.1109%2FIEEM62345.2024.10857137&amp;partnerID=40&amp;md5=12b89dcfa6af53221a1e4c7f87246812" TargetMode="External"/><Relationship Id="rId121" Type="http://schemas.openxmlformats.org/officeDocument/2006/relationships/hyperlink" Target="https://ieeexplore.ieee.org/stamp/stamp.jsp?arnumber=11205715" TargetMode="External"/><Relationship Id="rId163" Type="http://schemas.openxmlformats.org/officeDocument/2006/relationships/hyperlink" Target="https://ieeexplore.ieee.org/stamp/stamp.jsp?arnumber=11357614" TargetMode="External"/><Relationship Id="rId219" Type="http://schemas.openxmlformats.org/officeDocument/2006/relationships/hyperlink" Target="https://ec.europa.eu/isa2/sites/default/files/eif_brochure_final.pdf" TargetMode="External"/><Relationship Id="rId370" Type="http://schemas.openxmlformats.org/officeDocument/2006/relationships/hyperlink" Target="https://eur-lex.europa.eu/legal-content/AUTO/?uri=CONSIL:ST_9014_2023_ADD_1_REV_1&amp;qid=1771949868721&amp;rid=3" TargetMode="External"/><Relationship Id="rId230" Type="http://schemas.openxmlformats.org/officeDocument/2006/relationships/hyperlink" Target="https://www.scopus.com/inward/record.uri?eid=2-s2.0-85021286190&amp;doi=10.1016%2Fj.trpro.2016.02.063&amp;partnerID=40&amp;md5=619db9e2a2b8faef82bc5048dabd43f8" TargetMode="External"/><Relationship Id="rId25" Type="http://schemas.openxmlformats.org/officeDocument/2006/relationships/hyperlink" Target="https://doi.org/10.1016/j.im.2020.103266" TargetMode="External"/><Relationship Id="rId67" Type="http://schemas.openxmlformats.org/officeDocument/2006/relationships/hyperlink" Target="https://www.scopus.com/inward/record.uri?eid=2-s2.0-85166735449&amp;doi=10.1109%2FSoSE59841.2023.10178575&amp;partnerID=40&amp;md5=6fd91564224f001c25e21608088eda03" TargetMode="External"/><Relationship Id="rId272" Type="http://schemas.openxmlformats.org/officeDocument/2006/relationships/hyperlink" Target="http://dx.doi.org/10.1007/s12205-023-1196-4" TargetMode="External"/><Relationship Id="rId328" Type="http://schemas.openxmlformats.org/officeDocument/2006/relationships/hyperlink" Target="http://dx.doi.org/10.2478/sbe-2025-0045" TargetMode="External"/><Relationship Id="rId132" Type="http://schemas.openxmlformats.org/officeDocument/2006/relationships/hyperlink" Target="https://ieeexplore.ieee.org/stamp/stamp.jsp?arnumber=11297456" TargetMode="External"/><Relationship Id="rId174" Type="http://schemas.openxmlformats.org/officeDocument/2006/relationships/hyperlink" Target="https://www.scopus.com/inward/record.uri?eid=2-s2.0-105006548670&amp;doi=10.1007%2Fs11740-025-01346-x&amp;partnerID=40&amp;md5=0bd4dafd64e5fc2a265c2be1908ab8b0" TargetMode="External"/><Relationship Id="rId381" Type="http://schemas.openxmlformats.org/officeDocument/2006/relationships/drawing" Target="../drawings/drawing1.xml"/><Relationship Id="rId241" Type="http://schemas.openxmlformats.org/officeDocument/2006/relationships/hyperlink" Target="http://dx.doi.org/10.15405/epsbs.2019.03.166" TargetMode="External"/><Relationship Id="rId36" Type="http://schemas.openxmlformats.org/officeDocument/2006/relationships/hyperlink" Target="https://www.scopus.com/inward/record.uri?eid=2-s2.0-85052563911&amp;doi=10.1108%2Fjeim-10-2017-0147&amp;partnerID=40&amp;md5=74dbf7e21ade60c4b313407044999646" TargetMode="External"/><Relationship Id="rId283" Type="http://schemas.openxmlformats.org/officeDocument/2006/relationships/hyperlink" Target="http://dx.doi.org/10.1108/CI-01-2022-0020" TargetMode="External"/><Relationship Id="rId339" Type="http://schemas.openxmlformats.org/officeDocument/2006/relationships/hyperlink" Target="https://www.scopus.com/inward/record.uri?eid=2-s2.0-85169678878&amp;doi=10.1177%2F02666669231192879&amp;partnerID=40&amp;md5=b236325dfbb6cbfde9eaec446298c733" TargetMode="External"/><Relationship Id="rId78" Type="http://schemas.openxmlformats.org/officeDocument/2006/relationships/hyperlink" Target="http://dx.doi.org/10.3390/su162310735" TargetMode="External"/><Relationship Id="rId101" Type="http://schemas.openxmlformats.org/officeDocument/2006/relationships/hyperlink" Target="http://dx.doi.org/10.1016/j.ifacol.2024.09.177" TargetMode="External"/><Relationship Id="rId143" Type="http://schemas.openxmlformats.org/officeDocument/2006/relationships/hyperlink" Target="http://dx.doi.org/10.3390/technologies13070302" TargetMode="External"/><Relationship Id="rId185" Type="http://schemas.openxmlformats.org/officeDocument/2006/relationships/hyperlink" Target="https://www.scopus.com/inward/record.uri?eid=2-s2.0-105015427234&amp;doi=10.1109%2FICE%2FITMC65658.2025.11106524&amp;partnerID=40&amp;md5=067dd19a53ffd20ddfbe1c6616663d89" TargetMode="External"/><Relationship Id="rId350" Type="http://schemas.openxmlformats.org/officeDocument/2006/relationships/hyperlink" Target="https://books.google.de/books/about/Enterprise_Architecture_As_Strategy.html?id=7ToAqRXVjQwC&amp;redir_esc=y" TargetMode="External"/><Relationship Id="rId9" Type="http://schemas.openxmlformats.org/officeDocument/2006/relationships/hyperlink" Target="http://dx.doi.org/10.1016/j.jclepro.2022.135538" TargetMode="External"/><Relationship Id="rId210" Type="http://schemas.openxmlformats.org/officeDocument/2006/relationships/hyperlink" Target="https://www.scopus.com/inward/record.uri?eid=2-s2.0-105023296592&amp;doi=10.1007%2F978-3-032-09704-0_26&amp;partnerID=40&amp;md5=5d80531bd63dc514e86f2fa9f44c0fae" TargetMode="External"/><Relationship Id="rId26" Type="http://schemas.openxmlformats.org/officeDocument/2006/relationships/hyperlink" Target="https://doi.org/10.1016/j.respol.2007.03.003" TargetMode="External"/><Relationship Id="rId231" Type="http://schemas.openxmlformats.org/officeDocument/2006/relationships/hyperlink" Target="http://dx.doi.org/10.2495/BIM170081" TargetMode="External"/><Relationship Id="rId252" Type="http://schemas.openxmlformats.org/officeDocument/2006/relationships/hyperlink" Target="https://www.scopus.com/inward/record.uri?eid=2-s2.0-85096943803&amp;doi=10.18280%2FIJSDP.150702&amp;partnerID=40&amp;md5=ed1194482709631bc3d5b9a2216158fe" TargetMode="External"/><Relationship Id="rId273" Type="http://schemas.openxmlformats.org/officeDocument/2006/relationships/hyperlink" Target="http://dx.doi.org/10.1108/JOPP-04-2023-0020" TargetMode="External"/><Relationship Id="rId294" Type="http://schemas.openxmlformats.org/officeDocument/2006/relationships/hyperlink" Target="http://dx.doi.org/10.1016/j.jclepro.2024.143945" TargetMode="External"/><Relationship Id="rId308" Type="http://schemas.openxmlformats.org/officeDocument/2006/relationships/hyperlink" Target="http://dx.doi.org/10.1016/j.ifacol.2025.09.394" TargetMode="External"/><Relationship Id="rId329" Type="http://schemas.openxmlformats.org/officeDocument/2006/relationships/hyperlink" Target="https://www.scopus.com/inward/record.uri?eid=2-s2.0-85217632592&amp;doi=10.32719%2F26312484.2025.43.6&amp;partnerID=40&amp;md5=0a2725a141d93666234d93d23a030103" TargetMode="External"/><Relationship Id="rId47" Type="http://schemas.openxmlformats.org/officeDocument/2006/relationships/hyperlink" Target="https://doi.org/10.1007/s12599-025-00937-3" TargetMode="External"/><Relationship Id="rId68" Type="http://schemas.openxmlformats.org/officeDocument/2006/relationships/hyperlink" Target="https://doi.org/10.1016/j.procir.2023.02.060" TargetMode="External"/><Relationship Id="rId89" Type="http://schemas.openxmlformats.org/officeDocument/2006/relationships/hyperlink" Target="https://doi.org/10.1016/j.procs.2024.06.331" TargetMode="External"/><Relationship Id="rId112" Type="http://schemas.openxmlformats.org/officeDocument/2006/relationships/hyperlink" Target="https://www.scopus.com/inward/record.uri?eid=2-s2.0-105009410285&amp;doi=10.1016%2Fj.procir.2025.02.224&amp;partnerID=40&amp;md5=a35351aa6702a8374ec0427513d5245f" TargetMode="External"/><Relationship Id="rId133" Type="http://schemas.openxmlformats.org/officeDocument/2006/relationships/hyperlink" Target="https://www.scopus.com/inward/record.uri?eid=2-s2.0-105002465954&amp;doi=10.1109%2FICAET63349.2025.10932289&amp;partnerID=40&amp;md5=5a4fdfef725396d8748f70f58d9b250e" TargetMode="External"/><Relationship Id="rId154" Type="http://schemas.openxmlformats.org/officeDocument/2006/relationships/hyperlink" Target="http://dx.doi.org/10.1109/NTMS65597.2025.11076730" TargetMode="External"/><Relationship Id="rId175" Type="http://schemas.openxmlformats.org/officeDocument/2006/relationships/hyperlink" Target="https://www.scopus.com/inward/record.uri?eid=2-s2.0-85214272490&amp;doi=10.1016%2Fj.measen.2024.101491&amp;partnerID=40&amp;md5=2af48a6c1a30576be3e031ade3e4c01c" TargetMode="External"/><Relationship Id="rId340" Type="http://schemas.openxmlformats.org/officeDocument/2006/relationships/hyperlink" Target="http://dx.doi.org/10.1016/j.technovation.2024.103122" TargetMode="External"/><Relationship Id="rId361" Type="http://schemas.openxmlformats.org/officeDocument/2006/relationships/hyperlink" Target="https://www.scopus.com/inward/record.uri?eid=2-s2.0-85106449324&amp;partnerID=40&amp;md5=35a3472d57cc9e8c03a7b7cf9305d741" TargetMode="External"/><Relationship Id="rId196" Type="http://schemas.openxmlformats.org/officeDocument/2006/relationships/hyperlink" Target="http://dx.doi.org/10.1016/j.ifacol.2025.09.163" TargetMode="External"/><Relationship Id="rId200" Type="http://schemas.openxmlformats.org/officeDocument/2006/relationships/hyperlink" Target="https://www.scopus.com/inward/record.uri?eid=2-s2.0-105030239829&amp;doi=10.1007%2F978-3-032-14953-4_17&amp;partnerID=40&amp;md5=eebdd31dbc3ab40c7a63dcf423103d93" TargetMode="External"/><Relationship Id="rId382" Type="http://schemas.openxmlformats.org/officeDocument/2006/relationships/table" Target="../tables/table1.xml"/><Relationship Id="rId16" Type="http://schemas.openxmlformats.org/officeDocument/2006/relationships/hyperlink" Target="https://doi.org/10.1147/sj.263.0276" TargetMode="External"/><Relationship Id="rId221" Type="http://schemas.openxmlformats.org/officeDocument/2006/relationships/hyperlink" Target="https://www.scopus.com/inward/record.uri?eid=2-s2.0-85106411049&amp;doi=10.1007%2F978-3-030-75418-1_39&amp;partnerID=40&amp;md5=ba2d432928baa2a3aef0fcad910c9fb4" TargetMode="External"/><Relationship Id="rId242" Type="http://schemas.openxmlformats.org/officeDocument/2006/relationships/hyperlink" Target="http://dx.doi.org/10.3390/su11226352" TargetMode="External"/><Relationship Id="rId263" Type="http://schemas.openxmlformats.org/officeDocument/2006/relationships/hyperlink" Target="http://dx.doi.org/10.1109/ACCESS.2022.3182656" TargetMode="External"/><Relationship Id="rId284" Type="http://schemas.openxmlformats.org/officeDocument/2006/relationships/hyperlink" Target="http://dx.doi.org/10.1109/ICSSP59042.2023.00019" TargetMode="External"/><Relationship Id="rId319" Type="http://schemas.openxmlformats.org/officeDocument/2006/relationships/hyperlink" Target="http://dx.doi.org/10.1057/s41599-025-04980-z" TargetMode="External"/><Relationship Id="rId37" Type="http://schemas.openxmlformats.org/officeDocument/2006/relationships/hyperlink" Target="http://dx.doi.org/10.5220/0007762706740681" TargetMode="External"/><Relationship Id="rId58" Type="http://schemas.openxmlformats.org/officeDocument/2006/relationships/hyperlink" Target="https://doi.org/10.1016/j.peg.2025.100059" TargetMode="External"/><Relationship Id="rId79" Type="http://schemas.openxmlformats.org/officeDocument/2006/relationships/hyperlink" Target="https://ieeexplore.ieee.org/stamp/stamp.jsp?arnumber=10786712" TargetMode="External"/><Relationship Id="rId102" Type="http://schemas.openxmlformats.org/officeDocument/2006/relationships/hyperlink" Target="https://www.scopus.com/inward/record.uri?eid=2-s2.0-105025139668&amp;doi=10.1061%2F9780784486139.040&amp;partnerID=40&amp;md5=5f5b5be52ed59325af1044a869ca5ca9" TargetMode="External"/><Relationship Id="rId123" Type="http://schemas.openxmlformats.org/officeDocument/2006/relationships/hyperlink" Target="https://ieeexplore.ieee.org/stamp/stamp.jsp?arnumber=11361455" TargetMode="External"/><Relationship Id="rId144" Type="http://schemas.openxmlformats.org/officeDocument/2006/relationships/hyperlink" Target="https://www.scopus.com/inward/record.uri?eid=2-s2.0-105018796215&amp;doi=10.1016%2Fj.ifacol.2025.09.387&amp;partnerID=40&amp;md5=f03a3d9ddeba54792771015b9605a565" TargetMode="External"/><Relationship Id="rId330" Type="http://schemas.openxmlformats.org/officeDocument/2006/relationships/hyperlink" Target="http://dx.doi.org/10.1111/ejed.70361" TargetMode="External"/><Relationship Id="rId90" Type="http://schemas.openxmlformats.org/officeDocument/2006/relationships/hyperlink" Target="http://dx.doi.org/10.1016/j.procir.2024.01.082" TargetMode="External"/><Relationship Id="rId165" Type="http://schemas.openxmlformats.org/officeDocument/2006/relationships/hyperlink" Target="https://ieeexplore.ieee.org/stamp/stamp.jsp?arnumber=11314367" TargetMode="External"/><Relationship Id="rId186" Type="http://schemas.openxmlformats.org/officeDocument/2006/relationships/hyperlink" Target="https://ieeexplore.ieee.org/stamp/stamp.jsp?arnumber=11087836" TargetMode="External"/><Relationship Id="rId351" Type="http://schemas.openxmlformats.org/officeDocument/2006/relationships/hyperlink" Target="https://www.scopus.com/inward/record.uri?eid=2-s2.0-85208500901&amp;partnerID=40&amp;md5=58c7bfe0d06670debd751a94371c4576" TargetMode="External"/><Relationship Id="rId372" Type="http://schemas.openxmlformats.org/officeDocument/2006/relationships/hyperlink" Target="https://eur-lex.europa.eu/legal-content/AUTO/?uri=PI_COM:Ares(2023)693197&amp;qid=1771949868721&amp;rid=2" TargetMode="External"/><Relationship Id="rId211" Type="http://schemas.openxmlformats.org/officeDocument/2006/relationships/hyperlink" Target="https://doi.org/10.1016/j.digbus.2026.100167" TargetMode="External"/><Relationship Id="rId232" Type="http://schemas.openxmlformats.org/officeDocument/2006/relationships/hyperlink" Target="http://dx.doi.org/10.5592/CO/CETRA.2018.917" TargetMode="External"/><Relationship Id="rId253" Type="http://schemas.openxmlformats.org/officeDocument/2006/relationships/hyperlink" Target="http://dx.doi.org/10.1108/OHI-05-2020-0037" TargetMode="External"/><Relationship Id="rId274" Type="http://schemas.openxmlformats.org/officeDocument/2006/relationships/hyperlink" Target="http://dx.doi.org/10.3389/fsufs.2023.1235871" TargetMode="External"/><Relationship Id="rId295" Type="http://schemas.openxmlformats.org/officeDocument/2006/relationships/hyperlink" Target="http://dx.doi.org/10.1080/23311975.2024.2374883" TargetMode="External"/><Relationship Id="rId309" Type="http://schemas.openxmlformats.org/officeDocument/2006/relationships/hyperlink" Target="http://dx.doi.org/10.1108/CI-04-2022-0072" TargetMode="External"/><Relationship Id="rId27" Type="http://schemas.openxmlformats.org/officeDocument/2006/relationships/hyperlink" Target="https://doi.org/10.1093/jopart/mun021" TargetMode="External"/><Relationship Id="rId48" Type="http://schemas.openxmlformats.org/officeDocument/2006/relationships/hyperlink" Target="https://doi.org/10.1016/j.scitotenv.2025.180562" TargetMode="External"/><Relationship Id="rId69" Type="http://schemas.openxmlformats.org/officeDocument/2006/relationships/hyperlink" Target="https://www.scopus.com/inward/record.uri?eid=2-s2.0-85146590025&amp;doi=10.1177%2F17835917231152799&amp;partnerID=40&amp;md5=0790182ccfbb218f7d091767b66f93ca" TargetMode="External"/><Relationship Id="rId113" Type="http://schemas.openxmlformats.org/officeDocument/2006/relationships/hyperlink" Target="https://www.scopus.com/inward/record.uri?eid=2-s2.0-105015493352&amp;doi=10.1109%2FICE%2FITMC65658.2025.11106630&amp;partnerID=40&amp;md5=c5ccff6013aa7cd47a9683c3a4ec6001" TargetMode="External"/><Relationship Id="rId134" Type="http://schemas.openxmlformats.org/officeDocument/2006/relationships/hyperlink" Target="http://dx.doi.org/10.1016/j.ifacol.2025.09.110" TargetMode="External"/><Relationship Id="rId320" Type="http://schemas.openxmlformats.org/officeDocument/2006/relationships/hyperlink" Target="http://dx.doi.org/10.1108/APJML-03-2024-0350" TargetMode="External"/><Relationship Id="rId80" Type="http://schemas.openxmlformats.org/officeDocument/2006/relationships/hyperlink" Target="http://dx.doi.org/10.1109/ETFA61755.2024.10710683" TargetMode="External"/><Relationship Id="rId155" Type="http://schemas.openxmlformats.org/officeDocument/2006/relationships/hyperlink" Target="https://ieeexplore.ieee.org/stamp/stamp.jsp?arnumber=10915774" TargetMode="External"/><Relationship Id="rId176" Type="http://schemas.openxmlformats.org/officeDocument/2006/relationships/hyperlink" Target="https://www.scopus.com/inward/record.uri?eid=2-s2.0-105001923135&amp;doi=10.1016%2Fj.procs.2025.02.159&amp;partnerID=40&amp;md5=3c043bb30516119f55db5464c42abd60" TargetMode="External"/><Relationship Id="rId197" Type="http://schemas.openxmlformats.org/officeDocument/2006/relationships/hyperlink" Target="http://dx.doi.org/10.1016/j.sftr.2025.100847" TargetMode="External"/><Relationship Id="rId341" Type="http://schemas.openxmlformats.org/officeDocument/2006/relationships/hyperlink" Target="http://dx.doi.org/10.3390/land14061215" TargetMode="External"/><Relationship Id="rId362" Type="http://schemas.openxmlformats.org/officeDocument/2006/relationships/hyperlink" Target="https://www.opengroup.org/open-group-announces-launch-togaf-standard-10th-edition" TargetMode="External"/><Relationship Id="rId383" Type="http://schemas.microsoft.com/office/2007/relationships/slicer" Target="../slicers/slicer1.xml"/><Relationship Id="rId201" Type="http://schemas.openxmlformats.org/officeDocument/2006/relationships/hyperlink" Target="http://dx.doi.org/10.1016/j.websem.2026.100877" TargetMode="External"/><Relationship Id="rId222" Type="http://schemas.openxmlformats.org/officeDocument/2006/relationships/hyperlink" Target="http://dx.doi.org/10.1007/s10669-023-09908-z" TargetMode="External"/><Relationship Id="rId243" Type="http://schemas.openxmlformats.org/officeDocument/2006/relationships/hyperlink" Target="https://www.scopus.com/inward/record.uri?eid=2-s2.0-85075256508&amp;doi=10.1051%2Fe3sconf%2F201912510001&amp;partnerID=40&amp;md5=5edf79869ceb514f874f1dcff1516365" TargetMode="External"/><Relationship Id="rId264" Type="http://schemas.openxmlformats.org/officeDocument/2006/relationships/hyperlink" Target="https://www.scopus.com/inward/record.uri?eid=2-s2.0-85127403468&amp;doi=10.37394%2F23207.2022.19.69&amp;partnerID=40&amp;md5=67156e1521a199fc0c6ffe765463a102" TargetMode="External"/><Relationship Id="rId285" Type="http://schemas.openxmlformats.org/officeDocument/2006/relationships/hyperlink" Target="http://dx.doi.org/10.1080/09613218.2023.2229456" TargetMode="External"/><Relationship Id="rId17" Type="http://schemas.openxmlformats.org/officeDocument/2006/relationships/hyperlink" Target="https://doi.org/10.2753/MIS0742-1222230307" TargetMode="External"/><Relationship Id="rId38" Type="http://schemas.openxmlformats.org/officeDocument/2006/relationships/hyperlink" Target="https://www.scopus.com/inward/record.uri?eid=2-s2.0-85171149344&amp;doi=10.20294%2Fjgbt.2023.19.3.91&amp;partnerID=40&amp;md5=67276bd919d1243250ddf00df655f1af" TargetMode="External"/><Relationship Id="rId59" Type="http://schemas.openxmlformats.org/officeDocument/2006/relationships/hyperlink" Target="https://doi.org/10.1016/j.procir.2026.01.162" TargetMode="External"/><Relationship Id="rId103" Type="http://schemas.openxmlformats.org/officeDocument/2006/relationships/hyperlink" Target="http://dx.doi.org/10.1007/978-3-031-60433-1_21" TargetMode="External"/><Relationship Id="rId124" Type="http://schemas.openxmlformats.org/officeDocument/2006/relationships/hyperlink" Target="https://www.scopus.com/inward/record.uri?eid=2-s2.0-85219206931&amp;doi=10.1007%2F978-3-031-80775-6_14&amp;partnerID=40&amp;md5=20ce3be2c1bb15ab7ac636bacb8ad902" TargetMode="External"/><Relationship Id="rId310" Type="http://schemas.openxmlformats.org/officeDocument/2006/relationships/hyperlink" Target="http://dx.doi.org/10.30525/2256-0742/2025-11-4-316-326" TargetMode="External"/><Relationship Id="rId70" Type="http://schemas.openxmlformats.org/officeDocument/2006/relationships/hyperlink" Target="https://ieeexplore.ieee.org/stamp/stamp.jsp?arnumber=10113416" TargetMode="External"/><Relationship Id="rId91" Type="http://schemas.openxmlformats.org/officeDocument/2006/relationships/hyperlink" Target="https://ieeexplore.ieee.org/stamp/stamp.jsp?arnumber=10502429" TargetMode="External"/><Relationship Id="rId145" Type="http://schemas.openxmlformats.org/officeDocument/2006/relationships/hyperlink" Target="https://www.scopus.com/inward/record.uri?eid=2-s2.0-105000550189&amp;doi=10.1016%2Fj.procs.2025.02.022&amp;partnerID=40&amp;md5=7c968835a3ccf54392330952bd75a9b3" TargetMode="External"/><Relationship Id="rId166" Type="http://schemas.openxmlformats.org/officeDocument/2006/relationships/hyperlink" Target="https://www.scopus.com/inward/record.uri?eid=2-s2.0-105015303495&amp;doi=10.1016%2Fj.procir.2025.08.080&amp;partnerID=40&amp;md5=5b6926e3414f73b5a7e85b4d83501443" TargetMode="External"/><Relationship Id="rId187" Type="http://schemas.openxmlformats.org/officeDocument/2006/relationships/hyperlink" Target="http://dx.doi.org/10.1016/j.ifacol.2025.09.343" TargetMode="External"/><Relationship Id="rId331" Type="http://schemas.openxmlformats.org/officeDocument/2006/relationships/hyperlink" Target="https://www.scopus.com/inward/record.uri?eid=2-s2.0-105010355040&amp;doi=10.13165%2FVPA-25-24-2-07&amp;partnerID=40&amp;md5=c71db663043046eb9dcddeec974ba286" TargetMode="External"/><Relationship Id="rId352" Type="http://schemas.openxmlformats.org/officeDocument/2006/relationships/hyperlink" Target="https://www.scopus.com/inward/record.uri?eid=2-s2.0-85208924657&amp;partnerID=40&amp;md5=f5dc55f8af562996fc6e8146650f2185" TargetMode="External"/><Relationship Id="rId373" Type="http://schemas.openxmlformats.org/officeDocument/2006/relationships/hyperlink" Target="https://www.scopus.com/inward/record.uri?eid=2-s2.0-85101993068&amp;partnerID=40&amp;md5=335ae6abcc3229a57e5ac4cb18705ac9" TargetMode="External"/><Relationship Id="rId1" Type="http://schemas.openxmlformats.org/officeDocument/2006/relationships/hyperlink" Target="https://doi.org/10.1016/j.compind.2007.12.016" TargetMode="External"/><Relationship Id="rId212" Type="http://schemas.openxmlformats.org/officeDocument/2006/relationships/hyperlink" Target="https://doi.org/10.1016/j.eiar.2025.108243" TargetMode="External"/><Relationship Id="rId233" Type="http://schemas.openxmlformats.org/officeDocument/2006/relationships/hyperlink" Target="http://dx.doi.org/10.1007/978-3-319-59442-2_7" TargetMode="External"/><Relationship Id="rId254" Type="http://schemas.openxmlformats.org/officeDocument/2006/relationships/hyperlink" Target="https://www.scopus.com/inward/record.uri?eid=2-s2.0-85091349938&amp;doi=10.3390%2FSU12176934&amp;partnerID=40&amp;md5=854a503d94b14c72672ffb457f0a5624" TargetMode="External"/><Relationship Id="rId28" Type="http://schemas.openxmlformats.org/officeDocument/2006/relationships/hyperlink" Target="https://doi.org/10.1016/j.respol.2012.04.022" TargetMode="External"/><Relationship Id="rId49" Type="http://schemas.openxmlformats.org/officeDocument/2006/relationships/hyperlink" Target="https://doi.org/10.1016/j.ifacol.2025.09.398" TargetMode="External"/><Relationship Id="rId114" Type="http://schemas.openxmlformats.org/officeDocument/2006/relationships/hyperlink" Target="http://dx.doi.org/10.1109/ICMIMT65123.2025.11091954" TargetMode="External"/><Relationship Id="rId275" Type="http://schemas.openxmlformats.org/officeDocument/2006/relationships/hyperlink" Target="https://www.scopus.com/inward/record.uri?eid=2-s2.0-85151139742&amp;doi=10.1007%2F978-3-031-26852-6_2&amp;partnerID=40&amp;md5=7e5b66fa096e971ffb384c248ac6a6d7" TargetMode="External"/><Relationship Id="rId296" Type="http://schemas.openxmlformats.org/officeDocument/2006/relationships/hyperlink" Target="http://dx.doi.org/10.3390/buildings14082392" TargetMode="External"/><Relationship Id="rId300" Type="http://schemas.openxmlformats.org/officeDocument/2006/relationships/hyperlink" Target="https://www.scopus.com/inward/record.uri?eid=2-s2.0-85193210265&amp;doi=10.1590%2F1982-7849rac2024230175.por&amp;partnerID=40&amp;md5=6906794dedfc409e1b334465f723cb2a" TargetMode="External"/><Relationship Id="rId60" Type="http://schemas.openxmlformats.org/officeDocument/2006/relationships/hyperlink" Target="https://doi.org/10.1016/j.buildenv.2026.114361" TargetMode="External"/><Relationship Id="rId81" Type="http://schemas.openxmlformats.org/officeDocument/2006/relationships/hyperlink" Target="http://dx.doi.org/10.1007/978-3-031-71743-7_12" TargetMode="External"/><Relationship Id="rId135" Type="http://schemas.openxmlformats.org/officeDocument/2006/relationships/hyperlink" Target="https://ieeexplore.ieee.org/stamp/stamp.jsp?arnumber=11216830" TargetMode="External"/><Relationship Id="rId156" Type="http://schemas.openxmlformats.org/officeDocument/2006/relationships/hyperlink" Target="http://dx.doi.org/10.1002/bse.70078" TargetMode="External"/><Relationship Id="rId177" Type="http://schemas.openxmlformats.org/officeDocument/2006/relationships/hyperlink" Target="https://ieeexplore.ieee.org/stamp/stamp.jsp?arnumber=10914505" TargetMode="External"/><Relationship Id="rId198" Type="http://schemas.openxmlformats.org/officeDocument/2006/relationships/hyperlink" Target="https://www.scopus.com/inward/record.uri?eid=2-s2.0-105029701887&amp;doi=10.1007%2F978-3-032-15576-4_15&amp;partnerID=40&amp;md5=edac142c3ff13702f6e5e78b4bea1051" TargetMode="External"/><Relationship Id="rId321" Type="http://schemas.openxmlformats.org/officeDocument/2006/relationships/hyperlink" Target="https://www.scopus.com/inward/record.uri?eid=2-s2.0-105019799448&amp;doi=10.19184%2Fejlh.v12i2.53766&amp;partnerID=40&amp;md5=b297d826eaadabb6c592a1a711804c45" TargetMode="External"/><Relationship Id="rId342" Type="http://schemas.openxmlformats.org/officeDocument/2006/relationships/hyperlink" Target="http://dx.doi.org/10.3390/su17156799" TargetMode="External"/><Relationship Id="rId363" Type="http://schemas.openxmlformats.org/officeDocument/2006/relationships/hyperlink" Target="https://aisel.aisnet.org/cais/vol58/iss1/30" TargetMode="External"/><Relationship Id="rId202" Type="http://schemas.openxmlformats.org/officeDocument/2006/relationships/hyperlink" Target="http://dx.doi.org/10.3390/su18020782" TargetMode="External"/><Relationship Id="rId223" Type="http://schemas.openxmlformats.org/officeDocument/2006/relationships/hyperlink" Target="http://dx.doi.org/10.1007/978-3-031-59465-6_19" TargetMode="External"/><Relationship Id="rId244" Type="http://schemas.openxmlformats.org/officeDocument/2006/relationships/hyperlink" Target="https://www.scopus.com/inward/record.uri?eid=2-s2.0-85154051882&amp;doi=10.2478%2Feustu-2022-0028&amp;partnerID=40&amp;md5=15a3374b92437088531f172b151315f7" TargetMode="External"/><Relationship Id="rId18" Type="http://schemas.openxmlformats.org/officeDocument/2006/relationships/hyperlink" Target="https://doi.org/10.1109/HICSS.2007.79" TargetMode="External"/><Relationship Id="rId39" Type="http://schemas.openxmlformats.org/officeDocument/2006/relationships/hyperlink" Target="https://doi.org/10.1016/j.rineng.2023.101356" TargetMode="External"/><Relationship Id="rId265" Type="http://schemas.openxmlformats.org/officeDocument/2006/relationships/hyperlink" Target="http://dx.doi.org/10.3390/info13020099" TargetMode="External"/><Relationship Id="rId286" Type="http://schemas.openxmlformats.org/officeDocument/2006/relationships/hyperlink" Target="https://www.scopus.com/inward/record.uri?eid=2-s2.0-85150000728&amp;doi=10.1017%2FS1744133122000184&amp;partnerID=40&amp;md5=4faf983289d4a020ad17e31ba118d85e" TargetMode="External"/><Relationship Id="rId50" Type="http://schemas.openxmlformats.org/officeDocument/2006/relationships/hyperlink" Target="http://dx.doi.org/10.1007/978-3-031-93598-5_32" TargetMode="External"/><Relationship Id="rId104" Type="http://schemas.openxmlformats.org/officeDocument/2006/relationships/hyperlink" Target="http://dx.doi.org/10.1007/978-3-031-54712-6_9" TargetMode="External"/><Relationship Id="rId125" Type="http://schemas.openxmlformats.org/officeDocument/2006/relationships/hyperlink" Target="http://dx.doi.org/10.1109/RFID64926.2025.11015538" TargetMode="External"/><Relationship Id="rId146" Type="http://schemas.openxmlformats.org/officeDocument/2006/relationships/hyperlink" Target="https://www.scopus.com/inward/record.uri?eid=2-s2.0-105028741223&amp;doi=10.1109%2FICSTCC66753.2025.11240327&amp;partnerID=40&amp;md5=6fb208364f2ae91f9a31c0b3569c18f4" TargetMode="External"/><Relationship Id="rId167" Type="http://schemas.openxmlformats.org/officeDocument/2006/relationships/hyperlink" Target="https://www.scopus.com/inward/record.uri?eid=2-s2.0-105027166096&amp;doi=10.1088%2F1755-1315%2F1568%2F1%2F012026&amp;partnerID=40&amp;md5=ebc2b453b8537bc52df9ef1d14fb87d0" TargetMode="External"/><Relationship Id="rId188" Type="http://schemas.openxmlformats.org/officeDocument/2006/relationships/hyperlink" Target="https://doi.org/10.1016/j.est.2025.117851" TargetMode="External"/><Relationship Id="rId311" Type="http://schemas.openxmlformats.org/officeDocument/2006/relationships/hyperlink" Target="https://www.scopus.com/inward/record.uri?eid=2-s2.0-105020825201&amp;doi=10.31705%2FWCS.2025.55&amp;partnerID=40&amp;md5=e479d9f28bf1331a7cdcef01ac7fc4c0" TargetMode="External"/><Relationship Id="rId332" Type="http://schemas.openxmlformats.org/officeDocument/2006/relationships/hyperlink" Target="http://dx.doi.org/10.30525/2256-0742/2025-11-5-214-222" TargetMode="External"/><Relationship Id="rId353" Type="http://schemas.openxmlformats.org/officeDocument/2006/relationships/hyperlink" Target="https://www.scopus.com/inward/record.uri?eid=2-s2.0-85125889698&amp;partnerID=40&amp;md5=8daf963cf8699ffd7569a5e87e26c94d" TargetMode="External"/><Relationship Id="rId374" Type="http://schemas.openxmlformats.org/officeDocument/2006/relationships/hyperlink" Target="https://www.scopus.com/inward/record.uri?eid=2-s2.0-105019643613&amp;partnerID=40&amp;md5=8a67652d49044ec211f02842e071d326" TargetMode="External"/><Relationship Id="rId71" Type="http://schemas.openxmlformats.org/officeDocument/2006/relationships/hyperlink" Target="https://ieeexplore.ieee.org/stamp/stamp.jsp?arnumber=10257215" TargetMode="External"/><Relationship Id="rId92" Type="http://schemas.openxmlformats.org/officeDocument/2006/relationships/hyperlink" Target="https://www.scopus.com/inward/record.uri?eid=2-s2.0-85208035930&amp;doi=10.1016%2Fj.ifacol.2024.09.175&amp;partnerID=40&amp;md5=39854fd633e668bdc0b27fc544028eb0" TargetMode="External"/><Relationship Id="rId213" Type="http://schemas.openxmlformats.org/officeDocument/2006/relationships/hyperlink" Target="https://doi.org/10.1016/j.procir.2025.09.033" TargetMode="External"/><Relationship Id="rId234" Type="http://schemas.openxmlformats.org/officeDocument/2006/relationships/hyperlink" Target="http://dx.doi.org/10.1016/j.agee.2017.10.006" TargetMode="External"/><Relationship Id="rId2" Type="http://schemas.openxmlformats.org/officeDocument/2006/relationships/hyperlink" Target="https://doi.org/10.1287/isre.2018.0794" TargetMode="External"/><Relationship Id="rId29" Type="http://schemas.openxmlformats.org/officeDocument/2006/relationships/hyperlink" Target="https://doi.org/10.1016/j.jclepro.2013.02.007" TargetMode="External"/><Relationship Id="rId255" Type="http://schemas.openxmlformats.org/officeDocument/2006/relationships/hyperlink" Target="http://dx.doi.org/10.1007/978-3-030-51295-8_28" TargetMode="External"/><Relationship Id="rId276" Type="http://schemas.openxmlformats.org/officeDocument/2006/relationships/hyperlink" Target="http://dx.doi.org/10.30638/eemj.2023.145" TargetMode="External"/><Relationship Id="rId297" Type="http://schemas.openxmlformats.org/officeDocument/2006/relationships/hyperlink" Target="http://dx.doi.org/10.1080/14615517.2024.2359805" TargetMode="External"/><Relationship Id="rId40" Type="http://schemas.openxmlformats.org/officeDocument/2006/relationships/hyperlink" Target="https://www.scopus.com/inward/record.uri?eid=2-s2.0-85209390606&amp;doi=10.20372%2Fejhd.v38i1.6279&amp;partnerID=40&amp;md5=089f6db1eab477e6a95c3f0f619fd234" TargetMode="External"/><Relationship Id="rId115" Type="http://schemas.openxmlformats.org/officeDocument/2006/relationships/hyperlink" Target="http://dx.doi.org/10.36001/IJPHM.2025.v16i2.4508" TargetMode="External"/><Relationship Id="rId136" Type="http://schemas.openxmlformats.org/officeDocument/2006/relationships/hyperlink" Target="https://ieeexplore.ieee.org/stamp/stamp.jsp?arnumber=11298193" TargetMode="External"/><Relationship Id="rId157" Type="http://schemas.openxmlformats.org/officeDocument/2006/relationships/hyperlink" Target="http://dx.doi.org/10.1007/978-3-031-93995-2_15" TargetMode="External"/><Relationship Id="rId178" Type="http://schemas.openxmlformats.org/officeDocument/2006/relationships/hyperlink" Target="http://dx.doi.org/10.1007/978-3-031-93323-3_24" TargetMode="External"/><Relationship Id="rId301" Type="http://schemas.openxmlformats.org/officeDocument/2006/relationships/hyperlink" Target="https://www.scopus.com/inward/record.uri?eid=2-s2.0-85172476858&amp;doi=10.1016%2Fj.amp.2023.05.008&amp;partnerID=40&amp;md5=0ecb8aeb382247e4c8fd566f78858ffc" TargetMode="External"/><Relationship Id="rId322" Type="http://schemas.openxmlformats.org/officeDocument/2006/relationships/hyperlink" Target="https://www.scopus.com/inward/record.uri?eid=2-s2.0-105008479458&amp;doi=10.1007%2Fs43615-025-00637-w&amp;partnerID=40&amp;md5=004befad9c9c379d1b6e64161ac954ec" TargetMode="External"/><Relationship Id="rId343" Type="http://schemas.openxmlformats.org/officeDocument/2006/relationships/hyperlink" Target="http://dx.doi.org/10.1177/21582440251409680" TargetMode="External"/><Relationship Id="rId364" Type="http://schemas.openxmlformats.org/officeDocument/2006/relationships/hyperlink" Target="https://www.scopus.com/inward/record.uri?eid=2-s2.0-105012096706&amp;partnerID=40&amp;md5=1da5784d3255583a71e29cc16308bb97" TargetMode="External"/><Relationship Id="rId61" Type="http://schemas.openxmlformats.org/officeDocument/2006/relationships/hyperlink" Target="https://doi.org/10.1016/j.techsoc.2026.103284" TargetMode="External"/><Relationship Id="rId82" Type="http://schemas.openxmlformats.org/officeDocument/2006/relationships/hyperlink" Target="http://dx.doi.org/10.1109/EPTS61482.2024.10586718" TargetMode="External"/><Relationship Id="rId199" Type="http://schemas.openxmlformats.org/officeDocument/2006/relationships/hyperlink" Target="https://www.scopus.com/inward/record.uri?eid=2-s2.0-105028602939&amp;doi=10.4271%2F2026-26-0193&amp;partnerID=40&amp;md5=c7024912690e2fd2fac462ac80c47fa6" TargetMode="External"/><Relationship Id="rId203" Type="http://schemas.openxmlformats.org/officeDocument/2006/relationships/hyperlink" Target="https://doi.org/10.1016/j.jenvman.2025.128281" TargetMode="External"/><Relationship Id="rId19" Type="http://schemas.openxmlformats.org/officeDocument/2006/relationships/hyperlink" Target="https://doi.org/10.1016/j.giq.2006.05.003" TargetMode="External"/><Relationship Id="rId224" Type="http://schemas.openxmlformats.org/officeDocument/2006/relationships/hyperlink" Target="http://dx.doi.org/10.1007/978-3-031-51643-6_16" TargetMode="External"/><Relationship Id="rId245" Type="http://schemas.openxmlformats.org/officeDocument/2006/relationships/hyperlink" Target="https://doi.org/10.3390/su11195215" TargetMode="External"/><Relationship Id="rId266" Type="http://schemas.openxmlformats.org/officeDocument/2006/relationships/hyperlink" Target="http://dx.doi.org/10.1016/j.cie.2022.108360" TargetMode="External"/><Relationship Id="rId287" Type="http://schemas.openxmlformats.org/officeDocument/2006/relationships/hyperlink" Target="http://dx.doi.org/10.1108/IJESM-01-2024-0011" TargetMode="External"/><Relationship Id="rId30" Type="http://schemas.openxmlformats.org/officeDocument/2006/relationships/hyperlink" Target="https://doi.org/10.1016/j.jclepro.2017.03.055" TargetMode="External"/><Relationship Id="rId105" Type="http://schemas.openxmlformats.org/officeDocument/2006/relationships/hyperlink" Target="http://dx.doi.org/10.1109/ICE/ITMC61926.2024.10794253" TargetMode="External"/><Relationship Id="rId126" Type="http://schemas.openxmlformats.org/officeDocument/2006/relationships/hyperlink" Target="https://ieeexplore.ieee.org/stamp/stamp.jsp?arnumber=11106575" TargetMode="External"/><Relationship Id="rId147" Type="http://schemas.openxmlformats.org/officeDocument/2006/relationships/hyperlink" Target="https://www.scopus.com/inward/record.uri?eid=2-s2.0-105011586412&amp;doi=10.1016%2Fj.procir.2024.12.065&amp;partnerID=40&amp;md5=2957c4d0f4094285b45821763e9e96d9" TargetMode="External"/><Relationship Id="rId168" Type="http://schemas.openxmlformats.org/officeDocument/2006/relationships/hyperlink" Target="http://dx.doi.org/10.3390/systems13080700" TargetMode="External"/><Relationship Id="rId312" Type="http://schemas.openxmlformats.org/officeDocument/2006/relationships/hyperlink" Target="http://dx.doi.org/10.3390/systems13040267" TargetMode="External"/><Relationship Id="rId333" Type="http://schemas.openxmlformats.org/officeDocument/2006/relationships/hyperlink" Target="http://dx.doi.org/10.1098/rstb.2024.0152" TargetMode="External"/><Relationship Id="rId354" Type="http://schemas.openxmlformats.org/officeDocument/2006/relationships/hyperlink" Target="https://www.scopus.com/inward/record.uri?eid=2-s2.0-85079490401&amp;partnerID=40&amp;md5=3750178abc82e4cff64edfe155d97229" TargetMode="External"/><Relationship Id="rId51" Type="http://schemas.openxmlformats.org/officeDocument/2006/relationships/hyperlink" Target="https://www.scopus.com/inward/record.uri?eid=2-s2.0-105027455459&amp;doi=10.56578%2Fof110403&amp;partnerID=40&amp;md5=7a3e1f298ba68ffa4e9d914cc201ec5c" TargetMode="External"/><Relationship Id="rId72" Type="http://schemas.openxmlformats.org/officeDocument/2006/relationships/hyperlink" Target="https://www.scopus.com/inward/record.uri?eid=2-s2.0-85153893629&amp;doi=10.14512%2Fgaia.32.S1.7&amp;partnerID=40&amp;md5=006359ae62362f13457ceb250984e156" TargetMode="External"/><Relationship Id="rId93" Type="http://schemas.openxmlformats.org/officeDocument/2006/relationships/hyperlink" Target="https://www.scopus.com/inward/record.uri?eid=2-s2.0-105001659732&amp;doi=10.1109%2FICICYTA64807.2024.10913245&amp;partnerID=40&amp;md5=82ecf744adf1c4125df8b0440047ea50" TargetMode="External"/><Relationship Id="rId189" Type="http://schemas.openxmlformats.org/officeDocument/2006/relationships/hyperlink" Target="https://ieeexplore.ieee.org/stamp/stamp.jsp?arnumber=11205550" TargetMode="External"/><Relationship Id="rId375" Type="http://schemas.openxmlformats.org/officeDocument/2006/relationships/hyperlink" Target="https://doi.org/10.25300/MISQ/2013/37.2.01" TargetMode="External"/><Relationship Id="rId3" Type="http://schemas.openxmlformats.org/officeDocument/2006/relationships/hyperlink" Target="https://doi.org/10.3390/su10113882" TargetMode="External"/><Relationship Id="rId214" Type="http://schemas.openxmlformats.org/officeDocument/2006/relationships/hyperlink" Target="https://www.scopus.com/inward/record.uri?eid=2-s2.0-105030141575&amp;doi=10.1016%2Fj.dibe.2026.100877&amp;partnerID=40&amp;md5=19053a14f83a64013b7f1916bceee877" TargetMode="External"/><Relationship Id="rId235" Type="http://schemas.openxmlformats.org/officeDocument/2006/relationships/hyperlink" Target="http://dx.doi.org/10.1016/j.jclepro.2018.04.048" TargetMode="External"/><Relationship Id="rId256" Type="http://schemas.openxmlformats.org/officeDocument/2006/relationships/hyperlink" Target="https://www.scopus.com/inward/record.uri?eid=2-s2.0-85112662021&amp;doi=10.1016%2Fj.procs.2021.06.022&amp;partnerID=40&amp;md5=5ca72c6d56e15edaf018da46e464140e" TargetMode="External"/><Relationship Id="rId277" Type="http://schemas.openxmlformats.org/officeDocument/2006/relationships/hyperlink" Target="http://dx.doi.org/10.1061/JCEMD4.COENG-13502" TargetMode="External"/><Relationship Id="rId298" Type="http://schemas.openxmlformats.org/officeDocument/2006/relationships/hyperlink" Target="http://dx.doi.org/10.1061/JMENEA.MEENG-5997" TargetMode="External"/><Relationship Id="rId116" Type="http://schemas.openxmlformats.org/officeDocument/2006/relationships/hyperlink" Target="https://www.scopus.com/inward/record.uri?eid=2-s2.0-105000806448&amp;doi=10.1016%2Fj.enbuild.2025.115627&amp;partnerID=40&amp;md5=e4059da92278c78bf9bd0258abd99d91" TargetMode="External"/><Relationship Id="rId137" Type="http://schemas.openxmlformats.org/officeDocument/2006/relationships/hyperlink" Target="https://ieeexplore.ieee.org/stamp/stamp.jsp?arnumber=11106427" TargetMode="External"/><Relationship Id="rId158" Type="http://schemas.openxmlformats.org/officeDocument/2006/relationships/hyperlink" Target="https://ieeexplore.ieee.org/stamp/stamp.jsp?arnumber=11297523" TargetMode="External"/><Relationship Id="rId302" Type="http://schemas.openxmlformats.org/officeDocument/2006/relationships/hyperlink" Target="http://dx.doi.org/10.1016/j.pursup.2024.100935" TargetMode="External"/><Relationship Id="rId323" Type="http://schemas.openxmlformats.org/officeDocument/2006/relationships/hyperlink" Target="https://www.scopus.com/inward/record.uri?eid=2-s2.0-85217974791&amp;doi=10.1093%2Fscipol%2Fscae058&amp;partnerID=40&amp;md5=09d6a5bb623d4e72695cc8fef291293a" TargetMode="External"/><Relationship Id="rId344" Type="http://schemas.openxmlformats.org/officeDocument/2006/relationships/hyperlink" Target="http://dx.doi.org/10.1108/BIJ-01-2024-0059" TargetMode="External"/><Relationship Id="rId20" Type="http://schemas.openxmlformats.org/officeDocument/2006/relationships/hyperlink" Target="https://doi.org/10.17705/1CAIS.02810" TargetMode="External"/><Relationship Id="rId41" Type="http://schemas.openxmlformats.org/officeDocument/2006/relationships/hyperlink" Target="http://dx.doi.org/10.1002/gea.21977" TargetMode="External"/><Relationship Id="rId62" Type="http://schemas.openxmlformats.org/officeDocument/2006/relationships/hyperlink" Target="https://doi.org/10.1016/j.apenergy.2025.127151" TargetMode="External"/><Relationship Id="rId83" Type="http://schemas.openxmlformats.org/officeDocument/2006/relationships/hyperlink" Target="https://ieeexplore.ieee.org/stamp/stamp.jsp?arnumber=11004252" TargetMode="External"/><Relationship Id="rId179" Type="http://schemas.openxmlformats.org/officeDocument/2006/relationships/hyperlink" Target="https://ieeexplore.ieee.org/stamp/stamp.jsp?arnumber=11238148" TargetMode="External"/><Relationship Id="rId365" Type="http://schemas.openxmlformats.org/officeDocument/2006/relationships/hyperlink" Target="https://www.scopus.com/inward/record.uri?eid=2-s2.0-105023565926&amp;partnerID=40&amp;md5=f953886d78b7f03ffd7315f270d05839" TargetMode="External"/><Relationship Id="rId190" Type="http://schemas.openxmlformats.org/officeDocument/2006/relationships/hyperlink" Target="http://dx.doi.org/10.31803/tg-20250331102143" TargetMode="External"/><Relationship Id="rId204" Type="http://schemas.openxmlformats.org/officeDocument/2006/relationships/hyperlink" Target="https://doi.org/10.1016/j.jclepro.2025.147403" TargetMode="External"/><Relationship Id="rId225" Type="http://schemas.openxmlformats.org/officeDocument/2006/relationships/hyperlink" Target="https://www.scopus.com/inward/record.uri?eid=2-s2.0-105023314799&amp;doi=10.1007%2F978-3-032-09704-0_8&amp;partnerID=40&amp;md5=1b86cf05ecbeec64226f610d12043153" TargetMode="External"/><Relationship Id="rId246" Type="http://schemas.openxmlformats.org/officeDocument/2006/relationships/hyperlink" Target="http://dx.doi.org/10.1016/j.foodpol.2019.101782" TargetMode="External"/><Relationship Id="rId267" Type="http://schemas.openxmlformats.org/officeDocument/2006/relationships/hyperlink" Target="http://dx.doi.org/10.1016/j.pharma.2021.06.005" TargetMode="External"/><Relationship Id="rId288" Type="http://schemas.openxmlformats.org/officeDocument/2006/relationships/hyperlink" Target="http://dx.doi.org/10.1108/JOPP-07-2023-0046" TargetMode="External"/><Relationship Id="rId106" Type="http://schemas.openxmlformats.org/officeDocument/2006/relationships/hyperlink" Target="http://dx.doi.org/10.1007/978-3-031-71622-5_16" TargetMode="External"/><Relationship Id="rId127" Type="http://schemas.openxmlformats.org/officeDocument/2006/relationships/hyperlink" Target="http://dx.doi.org/10.1109/ICPS65515.2025.11087919" TargetMode="External"/><Relationship Id="rId313" Type="http://schemas.openxmlformats.org/officeDocument/2006/relationships/hyperlink" Target="http://dx.doi.org/10.1080/10429247.2024.2375166" TargetMode="External"/><Relationship Id="rId10" Type="http://schemas.openxmlformats.org/officeDocument/2006/relationships/hyperlink" Target="https://doi.org/10.1016/j.infoandorg.2023.100449" TargetMode="External"/><Relationship Id="rId31" Type="http://schemas.openxmlformats.org/officeDocument/2006/relationships/hyperlink" Target="https://doi.org/10.1108/IJPSM-03-2017-0066" TargetMode="External"/><Relationship Id="rId52" Type="http://schemas.openxmlformats.org/officeDocument/2006/relationships/hyperlink" Target="https://doi.org/10.1016/j.techsoc.2025.102859" TargetMode="External"/><Relationship Id="rId73" Type="http://schemas.openxmlformats.org/officeDocument/2006/relationships/hyperlink" Target="https://doi.org/10.1145/3575813.3595207" TargetMode="External"/><Relationship Id="rId94" Type="http://schemas.openxmlformats.org/officeDocument/2006/relationships/hyperlink" Target="https://ieeexplore.ieee.org/stamp/stamp.jsp?arnumber=10711027" TargetMode="External"/><Relationship Id="rId148" Type="http://schemas.openxmlformats.org/officeDocument/2006/relationships/hyperlink" Target="https://www.scopus.com/inward/record.uri?eid=2-s2.0-105027449278&amp;doi=10.1049%2Ficp.2025.2278&amp;partnerID=40&amp;md5=64efbd9b1ca2b76bb12848ef4b9cc010" TargetMode="External"/><Relationship Id="rId169" Type="http://schemas.openxmlformats.org/officeDocument/2006/relationships/hyperlink" Target="https://www.scopus.com/inward/record.uri?eid=2-s2.0-105013071555&amp;doi=10.1109%2FSusTech63138.2025.11025717&amp;partnerID=40&amp;md5=70807c08abab882d1173eda36123ee80" TargetMode="External"/><Relationship Id="rId334" Type="http://schemas.openxmlformats.org/officeDocument/2006/relationships/hyperlink" Target="https://www.scopus.com/inward/record.uri?eid=2-s2.0-105005154756&amp;doi=10.24251%2Fhicss.2025.702&amp;partnerID=40&amp;md5=0a8759809069f3617c013ae71c3468fb" TargetMode="External"/><Relationship Id="rId355" Type="http://schemas.openxmlformats.org/officeDocument/2006/relationships/hyperlink" Target="https://www.scopus.com/inward/record.uri?eid=2-s2.0-85063053676&amp;partnerID=40&amp;md5=9f339c64feac13b725c140de782fe0e4" TargetMode="External"/><Relationship Id="rId376" Type="http://schemas.openxmlformats.org/officeDocument/2006/relationships/hyperlink" Target="https://doi.org/10.2753/MIS0742-1222240302" TargetMode="External"/><Relationship Id="rId4" Type="http://schemas.openxmlformats.org/officeDocument/2006/relationships/hyperlink" Target="https://doi.org/10.1057/s41265-016-0033-3" TargetMode="External"/><Relationship Id="rId180" Type="http://schemas.openxmlformats.org/officeDocument/2006/relationships/hyperlink" Target="http://dx.doi.org/10.1016/j.ifacol.2025.09.108" TargetMode="External"/><Relationship Id="rId215" Type="http://schemas.openxmlformats.org/officeDocument/2006/relationships/hyperlink" Target="http://dx.doi.org/10.1108/RJTA-08-2025-0187" TargetMode="External"/><Relationship Id="rId236" Type="http://schemas.openxmlformats.org/officeDocument/2006/relationships/hyperlink" Target="https://www.scopus.com/inward/record.uri?eid=2-s2.0-85057995553&amp;doi=10.1108%2FJOPP-11-2018-020&amp;partnerID=40&amp;md5=ea4ea5d6a1f80354302f303a805c1695" TargetMode="External"/><Relationship Id="rId257" Type="http://schemas.openxmlformats.org/officeDocument/2006/relationships/hyperlink" Target="http://dx.doi.org/10.3390/buildings11120594" TargetMode="External"/><Relationship Id="rId278" Type="http://schemas.openxmlformats.org/officeDocument/2006/relationships/hyperlink" Target="http://dx.doi.org/10.2196/47663" TargetMode="External"/><Relationship Id="rId303" Type="http://schemas.openxmlformats.org/officeDocument/2006/relationships/hyperlink" Target="http://dx.doi.org/10.1108/JOPP-04-2024-0046" TargetMode="External"/><Relationship Id="rId42" Type="http://schemas.openxmlformats.org/officeDocument/2006/relationships/hyperlink" Target="https://doi.org/10.1016/j.jclepro.2024.142573" TargetMode="External"/><Relationship Id="rId84" Type="http://schemas.openxmlformats.org/officeDocument/2006/relationships/hyperlink" Target="http://dx.doi.org/10.1109/PLATCON63925.2024.10830745" TargetMode="External"/><Relationship Id="rId138" Type="http://schemas.openxmlformats.org/officeDocument/2006/relationships/hyperlink" Target="https://www.scopus.com/inward/record.uri?eid=2-s2.0-105025432384&amp;doi=10.1108%2FCI-02-2025-0074&amp;partnerID=40&amp;md5=bc0d9e428f396e0cf048868b5b5f1130" TargetMode="External"/><Relationship Id="rId345" Type="http://schemas.openxmlformats.org/officeDocument/2006/relationships/hyperlink" Target="https://www.scopus.com/inward/record.uri?eid=2-s2.0-105027592828&amp;doi=10.1007%2F978-3-032-12879-9_44&amp;partnerID=40&amp;md5=b4352460892dc6ad2d75c9cdfea49246" TargetMode="External"/><Relationship Id="rId191" Type="http://schemas.openxmlformats.org/officeDocument/2006/relationships/hyperlink" Target="https://ieeexplore.ieee.org/stamp/stamp.jsp?arnumber=11205576" TargetMode="External"/><Relationship Id="rId205" Type="http://schemas.openxmlformats.org/officeDocument/2006/relationships/hyperlink" Target="https://www.scopus.com/inward/record.uri?eid=2-s2.0-105020568338&amp;doi=10.1007%2F978-3-032-05610-8_20&amp;partnerID=40&amp;md5=3c187fe6d7a9817a8d12797b5949a063" TargetMode="External"/><Relationship Id="rId247" Type="http://schemas.openxmlformats.org/officeDocument/2006/relationships/hyperlink" Target="http://dx.doi.org/10.1016/j.indmarman.2019.07.003" TargetMode="External"/><Relationship Id="rId107" Type="http://schemas.openxmlformats.org/officeDocument/2006/relationships/hyperlink" Target="http://dx.doi.org/10.1109/ETFA61755.2024.10710875" TargetMode="External"/><Relationship Id="rId289" Type="http://schemas.openxmlformats.org/officeDocument/2006/relationships/hyperlink" Target="http://dx.doi.org/10.1108/PM-02-2023-0017" TargetMode="External"/><Relationship Id="rId11" Type="http://schemas.openxmlformats.org/officeDocument/2006/relationships/hyperlink" Target="https://doi.org/10.1016/j.spc.2023.02.021" TargetMode="External"/><Relationship Id="rId53" Type="http://schemas.openxmlformats.org/officeDocument/2006/relationships/hyperlink" Target="https://doi.org/10.1016/j.indmarman.2024.11.005" TargetMode="External"/><Relationship Id="rId149" Type="http://schemas.openxmlformats.org/officeDocument/2006/relationships/hyperlink" Target="http://dx.doi.org/10.1016/j.cesys.2025.100354" TargetMode="External"/><Relationship Id="rId314" Type="http://schemas.openxmlformats.org/officeDocument/2006/relationships/hyperlink" Target="http://dx.doi.org/10.1016/j.eiar.2025.107818" TargetMode="External"/><Relationship Id="rId356" Type="http://schemas.openxmlformats.org/officeDocument/2006/relationships/hyperlink" Target="https://www.scopus.com/inward/record.uri?eid=2-s2.0-85058047045&amp;partnerID=40&amp;md5=b5d08501771b595d73fffa1b493757ae" TargetMode="External"/><Relationship Id="rId95" Type="http://schemas.openxmlformats.org/officeDocument/2006/relationships/hyperlink" Target="https://ieeexplore.ieee.org/stamp/stamp.jsp?arnumber=10631243" TargetMode="External"/><Relationship Id="rId160" Type="http://schemas.openxmlformats.org/officeDocument/2006/relationships/hyperlink" Target="https://www.scopus.com/inward/record.uri?eid=2-s2.0-105013843068&amp;doi=10.1109%2FDCOSS-IoT65416.2025.00163&amp;partnerID=40&amp;md5=2ade87b315377726eb8b99cc4d32f514" TargetMode="External"/><Relationship Id="rId216" Type="http://schemas.openxmlformats.org/officeDocument/2006/relationships/hyperlink" Target="https://www.scopus.com/inward/record.uri?eid=2-s2.0-105028778275&amp;doi=10.3390%2Fapp16020865&amp;partnerID=40&amp;md5=ee2f5eb27f7ce6525046c3c4527a7847" TargetMode="External"/><Relationship Id="rId258" Type="http://schemas.openxmlformats.org/officeDocument/2006/relationships/hyperlink" Target="http://dx.doi.org/10.1145/3494193.3494226" TargetMode="External"/><Relationship Id="rId22" Type="http://schemas.openxmlformats.org/officeDocument/2006/relationships/hyperlink" Target="https://doi.org/10.1007/s10796-014-9542-1" TargetMode="External"/><Relationship Id="rId64" Type="http://schemas.openxmlformats.org/officeDocument/2006/relationships/hyperlink" Target="https://www.scopus.com/inward/record.uri?eid=2-s2.0-85175454163&amp;doi=10.1109%2FETFA54631.2023.10275715&amp;partnerID=40&amp;md5=d02da59c975221a1c41bd85537df94fd" TargetMode="External"/><Relationship Id="rId118" Type="http://schemas.openxmlformats.org/officeDocument/2006/relationships/hyperlink" Target="https://www.scopus.com/inward/record.uri?eid=2-s2.0-105011590103&amp;doi=10.1016%2Fj.procir.2024.12.125&amp;partnerID=40&amp;md5=0472abd4148f6a6d6b17a7ce76fb1cc6" TargetMode="External"/><Relationship Id="rId325" Type="http://schemas.openxmlformats.org/officeDocument/2006/relationships/hyperlink" Target="https://www.scopus.com/inward/record.uri?eid=2-s2.0-105014929779&amp;doi=10.17645%2Fup.9676&amp;partnerID=40&amp;md5=5292bca32fdc8511debd08ecf8df1411" TargetMode="External"/><Relationship Id="rId367" Type="http://schemas.openxmlformats.org/officeDocument/2006/relationships/hyperlink" Target="https://www.scopus.com/inward/record.uri?eid=2-s2.0-85204291727&amp;partnerID=40&amp;md5=0b019b9dfc30dc607c1c89c797212e70" TargetMode="External"/><Relationship Id="rId171" Type="http://schemas.openxmlformats.org/officeDocument/2006/relationships/hyperlink" Target="http://dx.doi.org/10.1016/j.ifacol.2025.09.415" TargetMode="External"/><Relationship Id="rId227" Type="http://schemas.openxmlformats.org/officeDocument/2006/relationships/hyperlink" Target="http://dx.doi.org/10.15219/em61.1200" TargetMode="External"/><Relationship Id="rId269" Type="http://schemas.openxmlformats.org/officeDocument/2006/relationships/hyperlink" Target="http://dx.doi.org/10.1007/978-3-031-21388-5_54" TargetMode="External"/><Relationship Id="rId33" Type="http://schemas.openxmlformats.org/officeDocument/2006/relationships/hyperlink" Target="https://doi.org/10.1016/j.jclepro.2020.123710" TargetMode="External"/><Relationship Id="rId129" Type="http://schemas.openxmlformats.org/officeDocument/2006/relationships/hyperlink" Target="https://www.scopus.com/inward/record.uri?eid=2-s2.0-105020789962&amp;doi=10.1007%2F978-3-032-06993-1_7&amp;partnerID=40&amp;md5=2abbd21a71a9c851ab9f947d659505e2" TargetMode="External"/><Relationship Id="rId280" Type="http://schemas.openxmlformats.org/officeDocument/2006/relationships/hyperlink" Target="http://dx.doi.org/10.34069/AI/2023.70.10.3" TargetMode="External"/><Relationship Id="rId336" Type="http://schemas.openxmlformats.org/officeDocument/2006/relationships/hyperlink" Target="https://www.scopus.com/inward/record.uri?eid=2-s2.0-105001287650&amp;doi=10.1007%2F978-3-031-85849-9_3&amp;partnerID=40&amp;md5=3d1d1d571b31b0d8a5ee736b305d7f8a" TargetMode="External"/><Relationship Id="rId75" Type="http://schemas.openxmlformats.org/officeDocument/2006/relationships/hyperlink" Target="https://www.scopus.com/inward/record.uri?eid=2-s2.0-85174418697&amp;doi=10.1109%2FDCOSS-IoT58021.2023.00068&amp;partnerID=40&amp;md5=7290d4ca949b36babea1cfdaf33096d4" TargetMode="External"/><Relationship Id="rId140" Type="http://schemas.openxmlformats.org/officeDocument/2006/relationships/hyperlink" Target="https://ieeexplore.ieee.org/stamp/stamp.jsp?arnumber=11348357" TargetMode="External"/><Relationship Id="rId182" Type="http://schemas.openxmlformats.org/officeDocument/2006/relationships/hyperlink" Target="http://dx.doi.org/10.1177/22104968251361274" TargetMode="External"/><Relationship Id="rId378" Type="http://schemas.openxmlformats.org/officeDocument/2006/relationships/hyperlink" Target="https://doi.org/10.2307/23043488" TargetMode="External"/><Relationship Id="rId6" Type="http://schemas.openxmlformats.org/officeDocument/2006/relationships/hyperlink" Target="https://doi.org/10.1016/j.ijinfomgt.2019.07.008" TargetMode="External"/><Relationship Id="rId238" Type="http://schemas.openxmlformats.org/officeDocument/2006/relationships/hyperlink" Target="http://dx.doi.org/10.3390/su10010171" TargetMode="External"/><Relationship Id="rId291" Type="http://schemas.openxmlformats.org/officeDocument/2006/relationships/hyperlink" Target="http://dx.doi.org/10.1016/j.eneco.2024.107597" TargetMode="External"/><Relationship Id="rId305" Type="http://schemas.openxmlformats.org/officeDocument/2006/relationships/hyperlink" Target="http://dx.doi.org/10.1108/JOPP-03-2025-0020" TargetMode="External"/><Relationship Id="rId347" Type="http://schemas.openxmlformats.org/officeDocument/2006/relationships/hyperlink" Target="http://dx.doi.org/10.1007/978-3-031-97617-9_5" TargetMode="External"/><Relationship Id="rId44" Type="http://schemas.openxmlformats.org/officeDocument/2006/relationships/hyperlink" Target="https://doi.org/10.1145/3643834.3661531" TargetMode="External"/><Relationship Id="rId86" Type="http://schemas.openxmlformats.org/officeDocument/2006/relationships/hyperlink" Target="https://www.scopus.com/inward/record.uri?eid=2-s2.0-85203426268&amp;doi=10.35490%2FEC3.2024.233&amp;partnerID=40&amp;md5=83b266dbcb7ca93e9757b94acc91417c" TargetMode="External"/><Relationship Id="rId151" Type="http://schemas.openxmlformats.org/officeDocument/2006/relationships/hyperlink" Target="https://www.scopus.com/inward/record.uri?eid=2-s2.0-105000011967&amp;doi=10.1016%2Fj.procir.2025.01.037&amp;partnerID=40&amp;md5=18c1a25c1c53bcca5d01587cc2c5efa2" TargetMode="External"/><Relationship Id="rId193" Type="http://schemas.openxmlformats.org/officeDocument/2006/relationships/hyperlink" Target="https://www.scopus.com/inward/record.uri?eid=2-s2.0-105009322804&amp;doi=10.1007%2F978-3-031-94223-5_27&amp;partnerID=40&amp;md5=2f8bf90bd4dfab09a6ce61a565d15fd1" TargetMode="External"/><Relationship Id="rId207" Type="http://schemas.openxmlformats.org/officeDocument/2006/relationships/hyperlink" Target="https://doi.org/10.1016/j.jclepro.2026.147792" TargetMode="External"/><Relationship Id="rId249" Type="http://schemas.openxmlformats.org/officeDocument/2006/relationships/hyperlink" Target="http://dx.doi.org/10.1016/j.jclepro.2020.120704" TargetMode="External"/><Relationship Id="rId13" Type="http://schemas.openxmlformats.org/officeDocument/2006/relationships/hyperlink" Target="http://dx.doi.org/10.1007/s12525-024-00690-7" TargetMode="External"/><Relationship Id="rId109" Type="http://schemas.openxmlformats.org/officeDocument/2006/relationships/hyperlink" Target="http://dx.doi.org/10.3390/su17062679" TargetMode="External"/><Relationship Id="rId260" Type="http://schemas.openxmlformats.org/officeDocument/2006/relationships/hyperlink" Target="http://dx.doi.org/10.1016/j.landusepol.2021.105531" TargetMode="External"/><Relationship Id="rId316" Type="http://schemas.openxmlformats.org/officeDocument/2006/relationships/hyperlink" Target="http://dx.doi.org/10.1080/23311975.2025.2485411" TargetMode="External"/><Relationship Id="rId55" Type="http://schemas.openxmlformats.org/officeDocument/2006/relationships/hyperlink" Target="https://www.scopus.com/inward/record.uri?eid=2-s2.0-105029557190&amp;doi=10.1080%2F15578771.2026.2625664&amp;partnerID=40&amp;md5=4e48a8adb459c768997a3feacce5feac" TargetMode="External"/><Relationship Id="rId97" Type="http://schemas.openxmlformats.org/officeDocument/2006/relationships/hyperlink" Target="https://www.scopus.com/inward/record.uri?eid=2-s2.0-85195695292&amp;doi=10.17660%2FActaHortic.2024.1395.32&amp;partnerID=40&amp;md5=96d8a31fb24b73ddbf75f8b0cbb64b3b" TargetMode="External"/><Relationship Id="rId120" Type="http://schemas.openxmlformats.org/officeDocument/2006/relationships/hyperlink" Target="https://www.scopus.com/inward/record.uri?eid=2-s2.0-105027118585&amp;doi=10.1088%2F1755-1315%2F1568%2F1%2F012023&amp;partnerID=40&amp;md5=744d3b0310bbcef32ab5918329eded65" TargetMode="External"/><Relationship Id="rId358" Type="http://schemas.openxmlformats.org/officeDocument/2006/relationships/hyperlink" Target="https://www.scopus.com/inward/record.uri?eid=2-s2.0-85029511642&amp;partnerID=40&amp;md5=5914969926a08eb20130241a42d4ab42" TargetMode="External"/><Relationship Id="rId162" Type="http://schemas.openxmlformats.org/officeDocument/2006/relationships/hyperlink" Target="http://dx.doi.org/10.3390/su172410886" TargetMode="External"/><Relationship Id="rId218" Type="http://schemas.openxmlformats.org/officeDocument/2006/relationships/hyperlink" Target="https://www.scopus.com/inward/record.uri?eid=2-s2.0-85016059159&amp;doi=10.1007%2F978-3-319-51133-7_66&amp;partnerID=40&amp;md5=d73d0e68a79404d8017013444c1d3a00" TargetMode="External"/><Relationship Id="rId271" Type="http://schemas.openxmlformats.org/officeDocument/2006/relationships/hyperlink" Target="https://www.scopus.com/inward/record.uri?eid=2-s2.0-85147651496&amp;doi=10.1504%2FIJPM.2021.10040756&amp;partnerID=40&amp;md5=9fb70991550d86f491fc908648ef0b43" TargetMode="External"/><Relationship Id="rId24" Type="http://schemas.openxmlformats.org/officeDocument/2006/relationships/hyperlink" Target="https://doi.org/10.1016/j.jsis.2018.03.001" TargetMode="External"/><Relationship Id="rId66" Type="http://schemas.openxmlformats.org/officeDocument/2006/relationships/hyperlink" Target="https://www.scopus.com/inward/record.uri?eid=2-s2.0-85177183715&amp;doi=10.35490%2FEC3.2023.245&amp;partnerID=40&amp;md5=cc4bd4d1bb0477a5ea288255d4d2fb73" TargetMode="External"/><Relationship Id="rId131" Type="http://schemas.openxmlformats.org/officeDocument/2006/relationships/hyperlink" Target="https://www.scopus.com/inward/record.uri?eid=2-s2.0-105013848737&amp;doi=10.30420%2F566541108&amp;partnerID=40&amp;md5=507662ccb9af49e0d0bf9dbc13d9fe2f" TargetMode="External"/><Relationship Id="rId327" Type="http://schemas.openxmlformats.org/officeDocument/2006/relationships/hyperlink" Target="https://www.scopus.com/inward/record.uri?eid=2-s2.0-105013132615&amp;doi=10.1177%2F07349149241296011&amp;partnerID=40&amp;md5=91497b97a235c724bf6a65cc77f140a9" TargetMode="External"/><Relationship Id="rId369" Type="http://schemas.openxmlformats.org/officeDocument/2006/relationships/hyperlink" Target="https://eur-lex.europa.eu/legal-content/AUTO/?uri=PI_COM:Ares(2024)8031852&amp;qid=1771949868721&amp;rid=4" TargetMode="External"/><Relationship Id="rId173" Type="http://schemas.openxmlformats.org/officeDocument/2006/relationships/hyperlink" Target="http://dx.doi.org/10.1002/cssc.202401142" TargetMode="External"/><Relationship Id="rId229" Type="http://schemas.openxmlformats.org/officeDocument/2006/relationships/hyperlink" Target="http://dx.doi.org/10.1080/03003930.2016.1181059" TargetMode="External"/><Relationship Id="rId380" Type="http://schemas.openxmlformats.org/officeDocument/2006/relationships/hyperlink" Target="https://doi.org/10.1016/j.respol.2011.02.005" TargetMode="External"/><Relationship Id="rId240" Type="http://schemas.openxmlformats.org/officeDocument/2006/relationships/hyperlink" Target="http://dx.doi.org/10.1016/j.jclepro.2019.06.106" TargetMode="External"/><Relationship Id="rId35" Type="http://schemas.openxmlformats.org/officeDocument/2006/relationships/hyperlink" Target="https://doi.org/10.1016/j.jclepro.2020.124821" TargetMode="External"/><Relationship Id="rId77" Type="http://schemas.openxmlformats.org/officeDocument/2006/relationships/hyperlink" Target="https://www.scopus.com/inward/record.uri?eid=2-s2.0-85213392297&amp;doi=10.1016%2Fj.procs.2024.09.251&amp;partnerID=40&amp;md5=694755e3a401fed58b43914deff73dfa" TargetMode="External"/><Relationship Id="rId100" Type="http://schemas.openxmlformats.org/officeDocument/2006/relationships/hyperlink" Target="http://dx.doi.org/10.1109/ETFA61755.2024.10711031" TargetMode="External"/><Relationship Id="rId282" Type="http://schemas.openxmlformats.org/officeDocument/2006/relationships/hyperlink" Target="http://dx.doi.org/10.55845/GXGR4467" TargetMode="External"/><Relationship Id="rId338" Type="http://schemas.openxmlformats.org/officeDocument/2006/relationships/hyperlink" Target="https://www.scopus.com/inward/record.uri?eid=2-s2.0-105018523911&amp;doi=10.7590%2F187479825X17562060647906&amp;partnerID=40&amp;md5=fe47b92a16ae7f9b8b11a81d8b9a72ba" TargetMode="External"/><Relationship Id="rId8" Type="http://schemas.openxmlformats.org/officeDocument/2006/relationships/hyperlink" Target="https://doi.org/10.1016/j.jclepro.2022.131492" TargetMode="External"/><Relationship Id="rId142" Type="http://schemas.openxmlformats.org/officeDocument/2006/relationships/hyperlink" Target="http://dx.doi.org/10.3390/s25185653" TargetMode="External"/><Relationship Id="rId184" Type="http://schemas.openxmlformats.org/officeDocument/2006/relationships/hyperlink" Target="http://dx.doi.org/10.1007/978-3-658-48215-2_5" TargetMode="External"/><Relationship Id="rId251" Type="http://schemas.openxmlformats.org/officeDocument/2006/relationships/hyperlink" Target="http://dx.doi.org/10.1016/j.pursup.2020.100625" TargetMode="External"/><Relationship Id="rId46" Type="http://schemas.openxmlformats.org/officeDocument/2006/relationships/hyperlink" Target="https://www.scopus.com/inward/record.uri?eid=2-s2.0-105017958730&amp;doi=10.1016%2Fj.infsof.2025.107904&amp;partnerID=40&amp;md5=a49229ff103eb1c16d5a944e3d7653bf" TargetMode="External"/><Relationship Id="rId293" Type="http://schemas.openxmlformats.org/officeDocument/2006/relationships/hyperlink" Target="https://www.scopus.com/inward/record.uri?eid=2-s2.0-85188702223&amp;doi=10.1007%2F978-981-99-8501-2_2&amp;partnerID=40&amp;md5=19223be9d8291213e4db58c1075b6a33" TargetMode="External"/><Relationship Id="rId307" Type="http://schemas.openxmlformats.org/officeDocument/2006/relationships/hyperlink" Target="http://dx.doi.org/10.17323/fstig.2025.27396" TargetMode="External"/><Relationship Id="rId349" Type="http://schemas.openxmlformats.org/officeDocument/2006/relationships/hyperlink" Target="https://doi.org/10.1109/SYSCON.2018.8369559" TargetMode="External"/><Relationship Id="rId88" Type="http://schemas.openxmlformats.org/officeDocument/2006/relationships/hyperlink" Target="http://dx.doi.org/10.1016/j.procir.2024.01.044" TargetMode="External"/><Relationship Id="rId111" Type="http://schemas.openxmlformats.org/officeDocument/2006/relationships/hyperlink" Target="https://ieeexplore.ieee.org/stamp/stamp.jsp?arnumber=11297414" TargetMode="External"/><Relationship Id="rId153" Type="http://schemas.openxmlformats.org/officeDocument/2006/relationships/hyperlink" Target="https://www.scopus.com/inward/record.uri?eid=2-s2.0-105019109848&amp;doi=10.1007%2Fs12243-025-01124-x&amp;partnerID=40&amp;md5=f746e8bf189bd059d9c8ce04bd8d183f" TargetMode="External"/><Relationship Id="rId195" Type="http://schemas.openxmlformats.org/officeDocument/2006/relationships/hyperlink" Target="https://ieeexplore.ieee.org/stamp/stamp.jsp?arnumber=11166561" TargetMode="External"/><Relationship Id="rId209" Type="http://schemas.openxmlformats.org/officeDocument/2006/relationships/hyperlink" Target="https://www.scopus.com/inward/record.uri?eid=2-s2.0-105024563437&amp;doi=10.1007%2F978-3-032-11976-6_23&amp;partnerID=40&amp;md5=3d120b49feee8595473991b251d5ea66" TargetMode="External"/><Relationship Id="rId360" Type="http://schemas.openxmlformats.org/officeDocument/2006/relationships/hyperlink" Target="https://www.scopus.com/inward/record.uri?eid=2-s2.0-84995922890&amp;partnerID=40&amp;md5=6e02c3ffb036aaf96dad526c4d3887b7" TargetMode="External"/><Relationship Id="rId220" Type="http://schemas.openxmlformats.org/officeDocument/2006/relationships/hyperlink" Target="https://www.scopus.com/inward/record.uri?eid=2-s2.0-85121846464&amp;doi=10.1007%2F978-3-030-91983-2_1&amp;partnerID=40&amp;md5=8e243fe75aeaeb3eb1d329eaf5772953" TargetMode="External"/><Relationship Id="rId15" Type="http://schemas.openxmlformats.org/officeDocument/2006/relationships/hyperlink" Target="http://dx.doi.org/10.1108/IMDS-04-2024-0403" TargetMode="External"/><Relationship Id="rId57" Type="http://schemas.openxmlformats.org/officeDocument/2006/relationships/hyperlink" Target="https://doi.org/10.1016/j.clman.2026.100002" TargetMode="External"/><Relationship Id="rId262" Type="http://schemas.openxmlformats.org/officeDocument/2006/relationships/hyperlink" Target="https://www.scopus.com/inward/record.uri?eid=2-s2.0-85132034469&amp;doi=10.1007%2F978-981-19-3112-3_25&amp;partnerID=40&amp;md5=878cbed096ecd55440aff5be7a7d09be" TargetMode="External"/><Relationship Id="rId318" Type="http://schemas.openxmlformats.org/officeDocument/2006/relationships/hyperlink" Target="https://www.scopus.com/inward/record.uri?eid=2-s2.0-105010237354&amp;doi=10.52202%2F080513-0641&amp;partnerID=40&amp;md5=d4e2005abdc928164d0a522a1dbe0826" TargetMode="External"/><Relationship Id="rId99" Type="http://schemas.openxmlformats.org/officeDocument/2006/relationships/hyperlink" Target="https://www.scopus.com/inward/record.uri?eid=2-s2.0-85186271507&amp;doi=10.1109%2FSII58957.2024.10417487&amp;partnerID=40&amp;md5=f5ffb1b81f2d1c0794d5ed6ab8655086" TargetMode="External"/><Relationship Id="rId122" Type="http://schemas.openxmlformats.org/officeDocument/2006/relationships/hyperlink" Target="https://www.scopus.com/inward/record.uri?eid=2-s2.0-105011583284&amp;doi=10.1016%2Fj.procir.2024.12.120&amp;partnerID=40&amp;md5=487f5a9cfd747b3aabee77fdcf2e358f" TargetMode="External"/><Relationship Id="rId164" Type="http://schemas.openxmlformats.org/officeDocument/2006/relationships/hyperlink" Target="https://ieeexplore.ieee.org/stamp/stamp.jsp?arnumber=11239259" TargetMode="External"/><Relationship Id="rId371" Type="http://schemas.openxmlformats.org/officeDocument/2006/relationships/hyperlink" Target="https://eur-lex.europa.eu/legal-content/AUTO/?uri=CONSIL:ST_9014_2023_ADD_1&amp;qid=1771949868721&amp;r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3A6F-2D8E-B54C-92C8-B97BE10188CE}">
  <dimension ref="A1:AO406"/>
  <sheetViews>
    <sheetView tabSelected="1" zoomScaleNormal="100" workbookViewId="0">
      <pane xSplit="2" ySplit="3" topLeftCell="C29" activePane="bottomRight" state="frozen"/>
      <selection pane="topRight" activeCell="C1" sqref="C1"/>
      <selection pane="bottomLeft" activeCell="A2" sqref="A2"/>
      <selection pane="bottomRight" activeCell="B29" sqref="B29"/>
    </sheetView>
  </sheetViews>
  <sheetFormatPr baseColWidth="10" defaultColWidth="8.83203125" defaultRowHeight="36" customHeight="1" x14ac:dyDescent="0.15"/>
  <cols>
    <col min="1" max="1" width="13" style="2" bestFit="1" customWidth="1"/>
    <col min="2" max="2" width="35.5" style="2" customWidth="1"/>
    <col min="3" max="3" width="24.6640625" style="3" customWidth="1"/>
    <col min="4" max="4" width="25" style="2" customWidth="1"/>
    <col min="5" max="5" width="14.33203125" style="2" customWidth="1"/>
    <col min="6" max="6" width="12.33203125" style="2" customWidth="1"/>
    <col min="7" max="7" width="11.83203125" style="2" hidden="1" customWidth="1"/>
    <col min="8" max="8" width="10.6640625" style="2" hidden="1" customWidth="1"/>
    <col min="9" max="9" width="28" style="2" customWidth="1"/>
    <col min="10" max="10" width="24.33203125" style="2" customWidth="1"/>
    <col min="11" max="11" width="21.6640625" style="2" bestFit="1" customWidth="1"/>
    <col min="12" max="12" width="22" style="2" customWidth="1"/>
    <col min="13" max="13" width="19.33203125" style="2" hidden="1" customWidth="1"/>
    <col min="14" max="14" width="15.5" style="2" hidden="1" customWidth="1"/>
    <col min="15" max="15" width="14.5" style="2" customWidth="1"/>
    <col min="16" max="16" width="6.1640625" style="2" customWidth="1"/>
    <col min="17" max="17" width="10.33203125" style="2" customWidth="1"/>
    <col min="18" max="18" width="8.83203125" style="2" customWidth="1"/>
    <col min="19" max="19" width="14.33203125" style="2" customWidth="1"/>
    <col min="20" max="20" width="9.33203125" style="2" customWidth="1"/>
    <col min="21" max="21" width="13.1640625" style="2" customWidth="1"/>
    <col min="22" max="22" width="14" style="2" customWidth="1"/>
    <col min="23" max="23" width="13" style="2" customWidth="1"/>
    <col min="24" max="24" width="17.1640625" style="2" customWidth="1"/>
    <col min="25" max="25" width="51.6640625" style="2" customWidth="1"/>
    <col min="26" max="26" width="16.33203125" style="2" bestFit="1" customWidth="1"/>
    <col min="27" max="27" width="28.83203125" style="2" customWidth="1"/>
    <col min="28" max="28" width="22" style="2" customWidth="1"/>
    <col min="29" max="29" width="9.33203125" style="2" customWidth="1"/>
    <col min="30" max="30" width="18.5" style="2" customWidth="1"/>
    <col min="31" max="31" width="9.5" style="2" customWidth="1"/>
    <col min="32" max="32" width="13.83203125" style="2" bestFit="1" customWidth="1"/>
    <col min="33" max="33" width="16.83203125" style="2" customWidth="1"/>
    <col min="34" max="34" width="13.1640625" style="2" bestFit="1" customWidth="1"/>
    <col min="35" max="35" width="13.83203125" style="2" bestFit="1" customWidth="1"/>
    <col min="36" max="36" width="62.5" style="4" bestFit="1" customWidth="1"/>
    <col min="37" max="37" width="13.83203125" style="2" bestFit="1" customWidth="1"/>
    <col min="38" max="38" width="13.6640625" style="2" bestFit="1" customWidth="1"/>
    <col min="39" max="40" width="22.1640625" style="2" bestFit="1" customWidth="1"/>
    <col min="41" max="16384" width="8.83203125" style="2"/>
  </cols>
  <sheetData>
    <row r="1" spans="1:36" ht="30" x14ac:dyDescent="0.3">
      <c r="A1" s="1" t="s">
        <v>0</v>
      </c>
    </row>
    <row r="2" spans="1:36" ht="154" customHeight="1" x14ac:dyDescent="0.15"/>
    <row r="3" spans="1:36" s="6" customFormat="1" ht="30" customHeight="1" x14ac:dyDescent="0.15">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5" t="s">
        <v>18</v>
      </c>
      <c r="S3" s="5" t="s">
        <v>19</v>
      </c>
      <c r="T3" s="5" t="s">
        <v>20</v>
      </c>
      <c r="U3" s="5" t="s">
        <v>21</v>
      </c>
      <c r="V3" s="5" t="s">
        <v>22</v>
      </c>
      <c r="W3" s="5" t="s">
        <v>23</v>
      </c>
      <c r="X3" s="5" t="s">
        <v>24</v>
      </c>
      <c r="Y3" s="5" t="s">
        <v>25</v>
      </c>
      <c r="Z3" s="5" t="s">
        <v>26</v>
      </c>
      <c r="AA3" s="5" t="s">
        <v>27</v>
      </c>
      <c r="AB3" s="5" t="s">
        <v>28</v>
      </c>
      <c r="AC3" s="5" t="s">
        <v>29</v>
      </c>
    </row>
    <row r="4" spans="1:36" ht="30" hidden="1" customHeight="1" x14ac:dyDescent="0.15">
      <c r="A4" s="7" t="s">
        <v>30</v>
      </c>
      <c r="B4" s="8" t="s">
        <v>31</v>
      </c>
      <c r="C4" s="8" t="s">
        <v>32</v>
      </c>
      <c r="D4" s="8" t="s">
        <v>33</v>
      </c>
      <c r="E4" s="8" t="s">
        <v>34</v>
      </c>
      <c r="F4" s="5">
        <v>2007</v>
      </c>
      <c r="G4" s="5">
        <v>45</v>
      </c>
      <c r="H4" s="5">
        <v>77</v>
      </c>
      <c r="I4" s="8" t="s">
        <v>35</v>
      </c>
      <c r="J4" s="9" t="s">
        <v>36</v>
      </c>
      <c r="K4" s="8" t="s">
        <v>37</v>
      </c>
      <c r="L4" s="5" t="s">
        <v>38</v>
      </c>
      <c r="M4" s="8" t="s">
        <v>39</v>
      </c>
      <c r="N4" s="8" t="s">
        <v>40</v>
      </c>
      <c r="O4" s="8" t="s">
        <v>41</v>
      </c>
      <c r="P4" s="5" t="s">
        <v>42</v>
      </c>
      <c r="Q4" s="5" t="s">
        <v>43</v>
      </c>
      <c r="R4" s="5" t="s">
        <v>44</v>
      </c>
      <c r="S4" s="5" t="s">
        <v>45</v>
      </c>
      <c r="T4" s="5" t="s">
        <v>46</v>
      </c>
      <c r="U4" s="5" t="s">
        <v>46</v>
      </c>
      <c r="V4" s="5" t="s">
        <v>46</v>
      </c>
      <c r="W4" s="5" t="s">
        <v>46</v>
      </c>
      <c r="X4" s="5" t="s">
        <v>47</v>
      </c>
      <c r="Y4" s="10" t="s">
        <v>48</v>
      </c>
      <c r="Z4" s="11" t="s">
        <v>30</v>
      </c>
      <c r="AA4" s="11" t="s">
        <v>49</v>
      </c>
      <c r="AB4" s="12" t="s">
        <v>50</v>
      </c>
      <c r="AC4" s="5" t="s">
        <v>46</v>
      </c>
      <c r="AJ4" s="2"/>
    </row>
    <row r="5" spans="1:36" ht="30" hidden="1" customHeight="1" x14ac:dyDescent="0.15">
      <c r="A5" s="7" t="s">
        <v>30</v>
      </c>
      <c r="B5" s="8" t="s">
        <v>51</v>
      </c>
      <c r="C5" s="8" t="s">
        <v>52</v>
      </c>
      <c r="D5" s="8" t="s">
        <v>53</v>
      </c>
      <c r="E5" s="8"/>
      <c r="F5" s="5">
        <v>1987</v>
      </c>
      <c r="G5" s="5"/>
      <c r="H5" s="5"/>
      <c r="I5" s="8" t="s">
        <v>54</v>
      </c>
      <c r="J5" s="13" t="s">
        <v>55</v>
      </c>
      <c r="K5" s="8" t="s">
        <v>37</v>
      </c>
      <c r="L5" s="5" t="s">
        <v>38</v>
      </c>
      <c r="M5" s="8" t="s">
        <v>46</v>
      </c>
      <c r="N5" s="8" t="s">
        <v>56</v>
      </c>
      <c r="O5" s="8" t="s">
        <v>57</v>
      </c>
      <c r="P5" s="5">
        <v>1</v>
      </c>
      <c r="Q5" s="5"/>
      <c r="R5" s="5" t="s">
        <v>58</v>
      </c>
      <c r="S5" s="5"/>
      <c r="T5" s="5" t="s">
        <v>46</v>
      </c>
      <c r="U5" s="5" t="s">
        <v>46</v>
      </c>
      <c r="V5" s="5" t="s">
        <v>46</v>
      </c>
      <c r="W5" s="5" t="s">
        <v>46</v>
      </c>
      <c r="X5" s="5" t="s">
        <v>47</v>
      </c>
      <c r="Y5" s="10" t="s">
        <v>59</v>
      </c>
      <c r="Z5" s="14" t="s">
        <v>30</v>
      </c>
      <c r="AA5" s="14" t="s">
        <v>60</v>
      </c>
      <c r="AB5" s="15" t="s">
        <v>61</v>
      </c>
      <c r="AC5" s="5" t="s">
        <v>46</v>
      </c>
      <c r="AJ5" s="2"/>
    </row>
    <row r="6" spans="1:36" ht="30" hidden="1" customHeight="1" x14ac:dyDescent="0.15">
      <c r="A6" s="7" t="s">
        <v>30</v>
      </c>
      <c r="B6" s="8" t="s">
        <v>62</v>
      </c>
      <c r="C6" s="8" t="s">
        <v>63</v>
      </c>
      <c r="D6" s="8" t="s">
        <v>64</v>
      </c>
      <c r="E6" s="8"/>
      <c r="F6" s="5">
        <v>2020</v>
      </c>
      <c r="G6" s="5"/>
      <c r="H6" s="5"/>
      <c r="I6" s="8" t="s">
        <v>65</v>
      </c>
      <c r="J6" s="13" t="s">
        <v>66</v>
      </c>
      <c r="K6" s="8" t="s">
        <v>37</v>
      </c>
      <c r="L6" s="5" t="s">
        <v>38</v>
      </c>
      <c r="M6" s="8" t="s">
        <v>46</v>
      </c>
      <c r="N6" s="8" t="s">
        <v>56</v>
      </c>
      <c r="O6" s="8" t="s">
        <v>57</v>
      </c>
      <c r="P6" s="5">
        <v>2</v>
      </c>
      <c r="Q6" s="5" t="s">
        <v>67</v>
      </c>
      <c r="R6" s="5" t="s">
        <v>68</v>
      </c>
      <c r="S6" s="5" t="s">
        <v>69</v>
      </c>
      <c r="T6" s="5" t="s">
        <v>46</v>
      </c>
      <c r="U6" s="5" t="s">
        <v>46</v>
      </c>
      <c r="V6" s="5" t="s">
        <v>46</v>
      </c>
      <c r="W6" s="5" t="s">
        <v>46</v>
      </c>
      <c r="X6" s="5" t="s">
        <v>47</v>
      </c>
      <c r="Y6" s="10" t="s">
        <v>70</v>
      </c>
      <c r="Z6" s="14" t="s">
        <v>30</v>
      </c>
      <c r="AA6" s="14" t="s">
        <v>71</v>
      </c>
      <c r="AB6" s="15" t="s">
        <v>72</v>
      </c>
      <c r="AC6" s="5" t="s">
        <v>46</v>
      </c>
      <c r="AJ6" s="2"/>
    </row>
    <row r="7" spans="1:36" ht="30" hidden="1" customHeight="1" x14ac:dyDescent="0.15">
      <c r="A7" s="7" t="s">
        <v>30</v>
      </c>
      <c r="B7" s="8" t="s">
        <v>73</v>
      </c>
      <c r="C7" s="8" t="s">
        <v>74</v>
      </c>
      <c r="D7" s="8" t="s">
        <v>75</v>
      </c>
      <c r="E7" s="8"/>
      <c r="F7" s="5">
        <v>2016</v>
      </c>
      <c r="G7" s="5"/>
      <c r="H7" s="5"/>
      <c r="I7" s="8" t="s">
        <v>76</v>
      </c>
      <c r="J7" s="13" t="s">
        <v>77</v>
      </c>
      <c r="K7" s="8" t="s">
        <v>37</v>
      </c>
      <c r="L7" s="5" t="s">
        <v>38</v>
      </c>
      <c r="M7" s="8" t="s">
        <v>46</v>
      </c>
      <c r="N7" s="8" t="s">
        <v>56</v>
      </c>
      <c r="O7" s="8" t="s">
        <v>57</v>
      </c>
      <c r="P7" s="5">
        <v>1</v>
      </c>
      <c r="Q7" s="5" t="s">
        <v>67</v>
      </c>
      <c r="R7" s="5" t="s">
        <v>68</v>
      </c>
      <c r="S7" s="5" t="s">
        <v>69</v>
      </c>
      <c r="T7" s="5" t="s">
        <v>46</v>
      </c>
      <c r="U7" s="5" t="s">
        <v>46</v>
      </c>
      <c r="V7" s="5" t="s">
        <v>46</v>
      </c>
      <c r="W7" s="5" t="s">
        <v>46</v>
      </c>
      <c r="X7" s="5" t="s">
        <v>47</v>
      </c>
      <c r="Y7" s="10" t="s">
        <v>78</v>
      </c>
      <c r="Z7" s="14" t="s">
        <v>30</v>
      </c>
      <c r="AA7" s="14" t="s">
        <v>60</v>
      </c>
      <c r="AB7" s="15" t="s">
        <v>61</v>
      </c>
      <c r="AC7" s="5" t="s">
        <v>46</v>
      </c>
      <c r="AJ7" s="2"/>
    </row>
    <row r="8" spans="1:36" ht="30" hidden="1" customHeight="1" x14ac:dyDescent="0.15">
      <c r="A8" s="7" t="s">
        <v>30</v>
      </c>
      <c r="B8" s="8" t="s">
        <v>79</v>
      </c>
      <c r="C8" s="8" t="s">
        <v>80</v>
      </c>
      <c r="D8" s="8" t="s">
        <v>81</v>
      </c>
      <c r="E8" s="8"/>
      <c r="F8" s="5">
        <v>2018</v>
      </c>
      <c r="G8" s="5"/>
      <c r="H8" s="5"/>
      <c r="I8" s="8" t="s">
        <v>82</v>
      </c>
      <c r="J8" s="13" t="s">
        <v>83</v>
      </c>
      <c r="K8" s="8" t="s">
        <v>37</v>
      </c>
      <c r="L8" s="5" t="s">
        <v>38</v>
      </c>
      <c r="M8" s="8" t="s">
        <v>46</v>
      </c>
      <c r="N8" s="8" t="s">
        <v>56</v>
      </c>
      <c r="O8" s="8" t="s">
        <v>57</v>
      </c>
      <c r="P8" s="5">
        <v>1</v>
      </c>
      <c r="Q8" s="5" t="s">
        <v>43</v>
      </c>
      <c r="R8" s="5" t="s">
        <v>44</v>
      </c>
      <c r="S8" s="5"/>
      <c r="T8" s="5" t="s">
        <v>46</v>
      </c>
      <c r="U8" s="5" t="s">
        <v>46</v>
      </c>
      <c r="V8" s="5" t="s">
        <v>46</v>
      </c>
      <c r="W8" s="5" t="s">
        <v>46</v>
      </c>
      <c r="X8" s="5" t="s">
        <v>47</v>
      </c>
      <c r="Y8" s="10" t="s">
        <v>84</v>
      </c>
      <c r="Z8" s="14" t="s">
        <v>30</v>
      </c>
      <c r="AA8" s="14" t="s">
        <v>60</v>
      </c>
      <c r="AB8" s="15" t="s">
        <v>61</v>
      </c>
      <c r="AC8" s="5" t="s">
        <v>46</v>
      </c>
      <c r="AJ8" s="2"/>
    </row>
    <row r="9" spans="1:36" ht="30" hidden="1" customHeight="1" x14ac:dyDescent="0.15">
      <c r="A9" s="7" t="s">
        <v>30</v>
      </c>
      <c r="B9" s="8" t="s">
        <v>85</v>
      </c>
      <c r="C9" s="8" t="s">
        <v>86</v>
      </c>
      <c r="D9" s="8" t="s">
        <v>87</v>
      </c>
      <c r="E9" s="8" t="s">
        <v>88</v>
      </c>
      <c r="F9" s="5">
        <v>2011</v>
      </c>
      <c r="G9" s="5">
        <v>37</v>
      </c>
      <c r="H9" s="5">
        <v>56</v>
      </c>
      <c r="I9" s="8" t="s">
        <v>89</v>
      </c>
      <c r="J9" s="9" t="s">
        <v>90</v>
      </c>
      <c r="K9" s="8" t="s">
        <v>37</v>
      </c>
      <c r="L9" s="5" t="s">
        <v>38</v>
      </c>
      <c r="M9" s="8" t="s">
        <v>39</v>
      </c>
      <c r="N9" s="8" t="s">
        <v>40</v>
      </c>
      <c r="O9" s="8" t="s">
        <v>41</v>
      </c>
      <c r="P9" s="5" t="s">
        <v>42</v>
      </c>
      <c r="Q9" s="5" t="s">
        <v>91</v>
      </c>
      <c r="R9" s="5" t="s">
        <v>44</v>
      </c>
      <c r="S9" s="5" t="s">
        <v>69</v>
      </c>
      <c r="T9" s="5" t="s">
        <v>46</v>
      </c>
      <c r="U9" s="5" t="s">
        <v>46</v>
      </c>
      <c r="V9" s="5" t="s">
        <v>46</v>
      </c>
      <c r="W9" s="5" t="s">
        <v>46</v>
      </c>
      <c r="X9" s="5" t="s">
        <v>47</v>
      </c>
      <c r="Y9" s="10" t="s">
        <v>92</v>
      </c>
      <c r="Z9" s="11" t="s">
        <v>30</v>
      </c>
      <c r="AA9" s="11" t="s">
        <v>93</v>
      </c>
      <c r="AB9" s="12" t="s">
        <v>94</v>
      </c>
      <c r="AC9" s="5" t="s">
        <v>46</v>
      </c>
      <c r="AJ9" s="2"/>
    </row>
    <row r="10" spans="1:36" ht="30" hidden="1" customHeight="1" x14ac:dyDescent="0.15">
      <c r="A10" s="7" t="s">
        <v>30</v>
      </c>
      <c r="B10" s="8" t="s">
        <v>95</v>
      </c>
      <c r="C10" s="8" t="s">
        <v>96</v>
      </c>
      <c r="D10" s="8" t="s">
        <v>97</v>
      </c>
      <c r="E10" s="8"/>
      <c r="F10" s="5">
        <v>2016</v>
      </c>
      <c r="G10" s="5"/>
      <c r="H10" s="5"/>
      <c r="I10" s="8" t="s">
        <v>98</v>
      </c>
      <c r="J10" s="13" t="s">
        <v>99</v>
      </c>
      <c r="K10" s="8" t="s">
        <v>37</v>
      </c>
      <c r="L10" s="5" t="s">
        <v>38</v>
      </c>
      <c r="M10" s="8" t="s">
        <v>46</v>
      </c>
      <c r="N10" s="8" t="s">
        <v>56</v>
      </c>
      <c r="O10" s="8" t="s">
        <v>57</v>
      </c>
      <c r="P10" s="5">
        <v>1</v>
      </c>
      <c r="Q10" s="5" t="s">
        <v>43</v>
      </c>
      <c r="R10" s="5" t="s">
        <v>44</v>
      </c>
      <c r="S10" s="5" t="s">
        <v>69</v>
      </c>
      <c r="T10" s="5" t="s">
        <v>46</v>
      </c>
      <c r="U10" s="5" t="s">
        <v>46</v>
      </c>
      <c r="V10" s="5" t="s">
        <v>46</v>
      </c>
      <c r="W10" s="5" t="s">
        <v>46</v>
      </c>
      <c r="X10" s="5" t="s">
        <v>47</v>
      </c>
      <c r="Y10" s="10" t="s">
        <v>100</v>
      </c>
      <c r="Z10" s="14" t="s">
        <v>30</v>
      </c>
      <c r="AA10" s="14" t="s">
        <v>60</v>
      </c>
      <c r="AB10" s="15" t="s">
        <v>61</v>
      </c>
      <c r="AC10" s="5" t="s">
        <v>46</v>
      </c>
      <c r="AJ10" s="2"/>
    </row>
    <row r="11" spans="1:36" ht="30" hidden="1" customHeight="1" x14ac:dyDescent="0.15">
      <c r="A11" s="7" t="s">
        <v>30</v>
      </c>
      <c r="B11" s="8" t="s">
        <v>101</v>
      </c>
      <c r="C11" s="8" t="s">
        <v>102</v>
      </c>
      <c r="D11" s="8" t="s">
        <v>103</v>
      </c>
      <c r="E11" s="8"/>
      <c r="F11" s="5">
        <v>2007</v>
      </c>
      <c r="G11" s="5"/>
      <c r="H11" s="5"/>
      <c r="I11" s="8" t="s">
        <v>104</v>
      </c>
      <c r="J11" s="13" t="s">
        <v>105</v>
      </c>
      <c r="K11" s="8" t="s">
        <v>37</v>
      </c>
      <c r="L11" s="5" t="s">
        <v>38</v>
      </c>
      <c r="M11" s="8" t="s">
        <v>46</v>
      </c>
      <c r="N11" s="8" t="s">
        <v>56</v>
      </c>
      <c r="O11" s="8" t="s">
        <v>57</v>
      </c>
      <c r="P11" s="5">
        <v>2</v>
      </c>
      <c r="Q11" s="5"/>
      <c r="R11" s="5"/>
      <c r="S11" s="5"/>
      <c r="T11" s="5" t="s">
        <v>46</v>
      </c>
      <c r="U11" s="5" t="s">
        <v>46</v>
      </c>
      <c r="V11" s="5" t="s">
        <v>46</v>
      </c>
      <c r="W11" s="5" t="s">
        <v>46</v>
      </c>
      <c r="X11" s="5" t="s">
        <v>47</v>
      </c>
      <c r="Y11" s="10" t="s">
        <v>106</v>
      </c>
      <c r="Z11" s="14" t="s">
        <v>30</v>
      </c>
      <c r="AA11" s="14" t="s">
        <v>71</v>
      </c>
      <c r="AB11" s="15" t="s">
        <v>72</v>
      </c>
      <c r="AC11" s="5" t="s">
        <v>46</v>
      </c>
      <c r="AJ11" s="2"/>
    </row>
    <row r="12" spans="1:36" ht="30" hidden="1" customHeight="1" x14ac:dyDescent="0.15">
      <c r="A12" s="7" t="s">
        <v>30</v>
      </c>
      <c r="B12" s="8" t="s">
        <v>107</v>
      </c>
      <c r="C12" s="8" t="s">
        <v>108</v>
      </c>
      <c r="D12" s="8" t="s">
        <v>109</v>
      </c>
      <c r="E12" s="8"/>
      <c r="F12" s="5">
        <v>2008</v>
      </c>
      <c r="G12" s="5"/>
      <c r="H12" s="5"/>
      <c r="I12" s="8" t="s">
        <v>110</v>
      </c>
      <c r="J12" s="13" t="s">
        <v>111</v>
      </c>
      <c r="K12" s="8" t="s">
        <v>37</v>
      </c>
      <c r="L12" s="5" t="s">
        <v>38</v>
      </c>
      <c r="M12" s="8" t="s">
        <v>46</v>
      </c>
      <c r="N12" s="8" t="s">
        <v>56</v>
      </c>
      <c r="O12" s="8" t="s">
        <v>112</v>
      </c>
      <c r="P12" s="5">
        <v>2</v>
      </c>
      <c r="Q12" s="5" t="s">
        <v>67</v>
      </c>
      <c r="R12" s="5" t="s">
        <v>113</v>
      </c>
      <c r="S12" s="5" t="s">
        <v>69</v>
      </c>
      <c r="T12" s="5" t="s">
        <v>46</v>
      </c>
      <c r="U12" s="5" t="s">
        <v>46</v>
      </c>
      <c r="V12" s="5" t="s">
        <v>46</v>
      </c>
      <c r="W12" s="5" t="s">
        <v>46</v>
      </c>
      <c r="X12" s="5" t="s">
        <v>47</v>
      </c>
      <c r="Y12" s="10" t="s">
        <v>114</v>
      </c>
      <c r="Z12" s="14" t="s">
        <v>30</v>
      </c>
      <c r="AA12" s="14" t="s">
        <v>71</v>
      </c>
      <c r="AB12" s="15" t="s">
        <v>72</v>
      </c>
      <c r="AC12" s="5" t="s">
        <v>46</v>
      </c>
      <c r="AJ12" s="2"/>
    </row>
    <row r="13" spans="1:36" ht="30" hidden="1" customHeight="1" x14ac:dyDescent="0.15">
      <c r="A13" s="7" t="s">
        <v>30</v>
      </c>
      <c r="B13" s="8" t="s">
        <v>115</v>
      </c>
      <c r="C13" s="8" t="s">
        <v>116</v>
      </c>
      <c r="D13" s="8" t="s">
        <v>117</v>
      </c>
      <c r="E13" s="8"/>
      <c r="F13" s="5">
        <v>2019</v>
      </c>
      <c r="G13" s="5"/>
      <c r="H13" s="5"/>
      <c r="I13" s="8" t="s">
        <v>118</v>
      </c>
      <c r="J13" s="13" t="s">
        <v>119</v>
      </c>
      <c r="K13" s="8" t="s">
        <v>37</v>
      </c>
      <c r="L13" s="5" t="s">
        <v>38</v>
      </c>
      <c r="M13" s="8" t="s">
        <v>46</v>
      </c>
      <c r="N13" s="8" t="s">
        <v>56</v>
      </c>
      <c r="O13" s="8" t="s">
        <v>120</v>
      </c>
      <c r="P13" s="5">
        <v>1</v>
      </c>
      <c r="Q13" s="5" t="s">
        <v>67</v>
      </c>
      <c r="R13" s="5" t="s">
        <v>121</v>
      </c>
      <c r="S13" s="5" t="s">
        <v>69</v>
      </c>
      <c r="T13" s="5" t="s">
        <v>46</v>
      </c>
      <c r="U13" s="5" t="s">
        <v>46</v>
      </c>
      <c r="V13" s="5" t="s">
        <v>46</v>
      </c>
      <c r="W13" s="5" t="s">
        <v>46</v>
      </c>
      <c r="X13" s="5" t="s">
        <v>47</v>
      </c>
      <c r="Y13" s="10" t="s">
        <v>122</v>
      </c>
      <c r="Z13" s="14" t="s">
        <v>30</v>
      </c>
      <c r="AA13" s="14" t="s">
        <v>60</v>
      </c>
      <c r="AB13" s="15" t="s">
        <v>61</v>
      </c>
      <c r="AC13" s="5" t="s">
        <v>46</v>
      </c>
      <c r="AJ13" s="2"/>
    </row>
    <row r="14" spans="1:36" ht="30" hidden="1" customHeight="1" x14ac:dyDescent="0.15">
      <c r="A14" s="7" t="s">
        <v>30</v>
      </c>
      <c r="B14" s="8" t="s">
        <v>123</v>
      </c>
      <c r="C14" s="8" t="s">
        <v>124</v>
      </c>
      <c r="D14" s="8" t="s">
        <v>125</v>
      </c>
      <c r="E14" s="8"/>
      <c r="F14" s="5">
        <v>2023</v>
      </c>
      <c r="G14" s="5"/>
      <c r="H14" s="5"/>
      <c r="I14" s="8" t="s">
        <v>126</v>
      </c>
      <c r="J14" s="13" t="s">
        <v>127</v>
      </c>
      <c r="K14" s="8" t="s">
        <v>37</v>
      </c>
      <c r="L14" s="5" t="s">
        <v>38</v>
      </c>
      <c r="M14" s="8" t="s">
        <v>46</v>
      </c>
      <c r="N14" s="8" t="s">
        <v>56</v>
      </c>
      <c r="O14" s="8" t="s">
        <v>120</v>
      </c>
      <c r="P14" s="5">
        <v>1</v>
      </c>
      <c r="Q14" s="5" t="s">
        <v>67</v>
      </c>
      <c r="R14" s="5" t="s">
        <v>68</v>
      </c>
      <c r="S14" s="5" t="s">
        <v>69</v>
      </c>
      <c r="T14" s="5" t="s">
        <v>46</v>
      </c>
      <c r="U14" s="5" t="s">
        <v>46</v>
      </c>
      <c r="V14" s="5" t="s">
        <v>46</v>
      </c>
      <c r="W14" s="5" t="s">
        <v>46</v>
      </c>
      <c r="X14" s="5" t="s">
        <v>47</v>
      </c>
      <c r="Y14" s="10" t="s">
        <v>128</v>
      </c>
      <c r="Z14" s="14" t="s">
        <v>30</v>
      </c>
      <c r="AA14" s="14" t="s">
        <v>60</v>
      </c>
      <c r="AB14" s="15" t="s">
        <v>61</v>
      </c>
      <c r="AC14" s="5" t="s">
        <v>46</v>
      </c>
      <c r="AJ14" s="2"/>
    </row>
    <row r="15" spans="1:36" ht="30" hidden="1" customHeight="1" x14ac:dyDescent="0.15">
      <c r="A15" s="7" t="s">
        <v>30</v>
      </c>
      <c r="B15" s="8" t="s">
        <v>129</v>
      </c>
      <c r="C15" s="8" t="s">
        <v>130</v>
      </c>
      <c r="D15" s="8" t="s">
        <v>87</v>
      </c>
      <c r="E15" s="8" t="s">
        <v>88</v>
      </c>
      <c r="F15" s="5">
        <v>2004</v>
      </c>
      <c r="G15" s="5">
        <v>75</v>
      </c>
      <c r="H15" s="5">
        <v>105</v>
      </c>
      <c r="I15" s="8" t="s">
        <v>131</v>
      </c>
      <c r="J15" s="9" t="s">
        <v>132</v>
      </c>
      <c r="K15" s="8" t="s">
        <v>37</v>
      </c>
      <c r="L15" s="5" t="s">
        <v>38</v>
      </c>
      <c r="M15" s="8" t="s">
        <v>39</v>
      </c>
      <c r="N15" s="8" t="s">
        <v>40</v>
      </c>
      <c r="O15" s="8" t="s">
        <v>41</v>
      </c>
      <c r="P15" s="5" t="s">
        <v>42</v>
      </c>
      <c r="Q15" s="5" t="s">
        <v>91</v>
      </c>
      <c r="R15" s="5" t="s">
        <v>44</v>
      </c>
      <c r="S15" s="5" t="s">
        <v>69</v>
      </c>
      <c r="T15" s="5" t="s">
        <v>46</v>
      </c>
      <c r="U15" s="5" t="s">
        <v>46</v>
      </c>
      <c r="V15" s="5" t="s">
        <v>46</v>
      </c>
      <c r="W15" s="5" t="s">
        <v>46</v>
      </c>
      <c r="X15" s="5" t="s">
        <v>47</v>
      </c>
      <c r="Y15" s="10" t="s">
        <v>133</v>
      </c>
      <c r="Z15" s="11" t="s">
        <v>30</v>
      </c>
      <c r="AA15" s="11" t="s">
        <v>49</v>
      </c>
      <c r="AB15" s="12" t="s">
        <v>134</v>
      </c>
      <c r="AC15" s="5" t="s">
        <v>46</v>
      </c>
      <c r="AJ15" s="2"/>
    </row>
    <row r="16" spans="1:36" ht="30" hidden="1" customHeight="1" x14ac:dyDescent="0.15">
      <c r="A16" s="7" t="s">
        <v>30</v>
      </c>
      <c r="B16" s="8" t="s">
        <v>135</v>
      </c>
      <c r="C16" s="8" t="s">
        <v>136</v>
      </c>
      <c r="D16" s="8" t="s">
        <v>137</v>
      </c>
      <c r="E16" s="8" t="s">
        <v>138</v>
      </c>
      <c r="F16" s="5">
        <v>2018</v>
      </c>
      <c r="G16" s="5">
        <v>358</v>
      </c>
      <c r="H16" s="5">
        <v>376</v>
      </c>
      <c r="I16" s="8" t="s">
        <v>139</v>
      </c>
      <c r="J16" s="9" t="s">
        <v>140</v>
      </c>
      <c r="K16" s="8" t="s">
        <v>37</v>
      </c>
      <c r="L16" s="5" t="s">
        <v>38</v>
      </c>
      <c r="M16" s="8" t="s">
        <v>39</v>
      </c>
      <c r="N16" s="8" t="s">
        <v>40</v>
      </c>
      <c r="O16" s="8" t="s">
        <v>41</v>
      </c>
      <c r="P16" s="5" t="s">
        <v>42</v>
      </c>
      <c r="Q16" s="5" t="s">
        <v>43</v>
      </c>
      <c r="R16" s="5" t="s">
        <v>44</v>
      </c>
      <c r="S16" s="5" t="s">
        <v>45</v>
      </c>
      <c r="T16" s="5" t="s">
        <v>46</v>
      </c>
      <c r="U16" s="5" t="s">
        <v>46</v>
      </c>
      <c r="V16" s="5" t="s">
        <v>46</v>
      </c>
      <c r="W16" s="5" t="s">
        <v>46</v>
      </c>
      <c r="X16" s="5" t="s">
        <v>47</v>
      </c>
      <c r="Y16" s="10" t="s">
        <v>141</v>
      </c>
      <c r="Z16" s="11" t="s">
        <v>30</v>
      </c>
      <c r="AA16" s="11" t="s">
        <v>93</v>
      </c>
      <c r="AB16" s="12" t="s">
        <v>142</v>
      </c>
      <c r="AC16" s="5" t="s">
        <v>46</v>
      </c>
      <c r="AJ16" s="2"/>
    </row>
    <row r="17" spans="1:36" ht="30" hidden="1" customHeight="1" x14ac:dyDescent="0.15">
      <c r="A17" s="7" t="s">
        <v>30</v>
      </c>
      <c r="B17" s="8" t="s">
        <v>143</v>
      </c>
      <c r="C17" s="8" t="s">
        <v>144</v>
      </c>
      <c r="D17" s="8" t="s">
        <v>145</v>
      </c>
      <c r="E17" s="8"/>
      <c r="F17" s="5">
        <v>2006</v>
      </c>
      <c r="G17" s="5"/>
      <c r="H17" s="5"/>
      <c r="I17" s="8" t="s">
        <v>46</v>
      </c>
      <c r="J17" s="13" t="s">
        <v>146</v>
      </c>
      <c r="K17" s="8" t="s">
        <v>37</v>
      </c>
      <c r="L17" s="5" t="s">
        <v>38</v>
      </c>
      <c r="M17" s="8" t="s">
        <v>46</v>
      </c>
      <c r="N17" s="8" t="s">
        <v>56</v>
      </c>
      <c r="O17" s="8" t="s">
        <v>57</v>
      </c>
      <c r="P17" s="5">
        <v>1</v>
      </c>
      <c r="Q17" s="5"/>
      <c r="R17" s="5"/>
      <c r="S17" s="5"/>
      <c r="T17" s="5" t="s">
        <v>46</v>
      </c>
      <c r="U17" s="5" t="s">
        <v>46</v>
      </c>
      <c r="V17" s="5" t="s">
        <v>46</v>
      </c>
      <c r="W17" s="5" t="s">
        <v>46</v>
      </c>
      <c r="X17" s="5" t="s">
        <v>47</v>
      </c>
      <c r="Y17" s="10" t="s">
        <v>147</v>
      </c>
      <c r="Z17" s="14" t="s">
        <v>30</v>
      </c>
      <c r="AA17" s="14" t="s">
        <v>60</v>
      </c>
      <c r="AB17" s="15" t="s">
        <v>148</v>
      </c>
      <c r="AC17" s="5" t="s">
        <v>46</v>
      </c>
      <c r="AJ17" s="2"/>
    </row>
    <row r="18" spans="1:36" ht="30" hidden="1" customHeight="1" x14ac:dyDescent="0.15">
      <c r="A18" s="7" t="s">
        <v>30</v>
      </c>
      <c r="B18" s="8" t="s">
        <v>149</v>
      </c>
      <c r="C18" s="8" t="s">
        <v>150</v>
      </c>
      <c r="D18" s="8" t="s">
        <v>151</v>
      </c>
      <c r="E18" s="8" t="s">
        <v>152</v>
      </c>
      <c r="F18" s="5">
        <v>2018</v>
      </c>
      <c r="G18" s="5"/>
      <c r="H18" s="5"/>
      <c r="I18" s="8" t="s">
        <v>153</v>
      </c>
      <c r="J18" s="13" t="s">
        <v>154</v>
      </c>
      <c r="K18" s="8" t="s">
        <v>37</v>
      </c>
      <c r="L18" s="5" t="s">
        <v>38</v>
      </c>
      <c r="M18" s="8" t="s">
        <v>39</v>
      </c>
      <c r="N18" s="8" t="s">
        <v>56</v>
      </c>
      <c r="O18" s="8" t="s">
        <v>112</v>
      </c>
      <c r="P18" s="5">
        <v>2</v>
      </c>
      <c r="Q18" s="5"/>
      <c r="R18" s="5"/>
      <c r="S18" s="5"/>
      <c r="T18" s="5" t="s">
        <v>46</v>
      </c>
      <c r="U18" s="5" t="s">
        <v>46</v>
      </c>
      <c r="V18" s="5" t="s">
        <v>46</v>
      </c>
      <c r="W18" s="5" t="s">
        <v>46</v>
      </c>
      <c r="X18" s="5" t="s">
        <v>47</v>
      </c>
      <c r="Y18" s="10" t="s">
        <v>155</v>
      </c>
      <c r="Z18" s="14" t="s">
        <v>156</v>
      </c>
      <c r="AA18" s="14" t="s">
        <v>71</v>
      </c>
      <c r="AB18" s="15"/>
      <c r="AC18" s="5" t="s">
        <v>46</v>
      </c>
      <c r="AJ18" s="2"/>
    </row>
    <row r="19" spans="1:36" ht="30" hidden="1" customHeight="1" x14ac:dyDescent="0.15">
      <c r="A19" s="7" t="s">
        <v>30</v>
      </c>
      <c r="B19" s="8" t="s">
        <v>157</v>
      </c>
      <c r="C19" s="8" t="s">
        <v>158</v>
      </c>
      <c r="D19" s="8" t="s">
        <v>158</v>
      </c>
      <c r="E19" s="8" t="s">
        <v>158</v>
      </c>
      <c r="F19" s="5">
        <v>2017</v>
      </c>
      <c r="G19" s="5"/>
      <c r="H19" s="5"/>
      <c r="I19" s="8" t="s">
        <v>46</v>
      </c>
      <c r="J19" s="13" t="s">
        <v>159</v>
      </c>
      <c r="K19" s="8" t="s">
        <v>37</v>
      </c>
      <c r="L19" s="5" t="s">
        <v>38</v>
      </c>
      <c r="M19" s="8" t="s">
        <v>160</v>
      </c>
      <c r="N19" s="8" t="s">
        <v>56</v>
      </c>
      <c r="O19" s="8" t="s">
        <v>57</v>
      </c>
      <c r="P19" s="5">
        <v>1</v>
      </c>
      <c r="Q19" s="5"/>
      <c r="R19" s="5"/>
      <c r="S19" s="5"/>
      <c r="T19" s="5" t="s">
        <v>46</v>
      </c>
      <c r="U19" s="5" t="s">
        <v>46</v>
      </c>
      <c r="V19" s="5" t="s">
        <v>46</v>
      </c>
      <c r="W19" s="5" t="s">
        <v>46</v>
      </c>
      <c r="X19" s="5" t="s">
        <v>47</v>
      </c>
      <c r="Y19" s="10" t="s">
        <v>161</v>
      </c>
      <c r="Z19" s="14" t="s">
        <v>30</v>
      </c>
      <c r="AA19" s="14" t="s">
        <v>162</v>
      </c>
      <c r="AB19" s="15" t="s">
        <v>148</v>
      </c>
      <c r="AC19" s="5" t="s">
        <v>46</v>
      </c>
      <c r="AJ19" s="2"/>
    </row>
    <row r="20" spans="1:36" ht="30" hidden="1" customHeight="1" x14ac:dyDescent="0.15">
      <c r="A20" s="7" t="s">
        <v>30</v>
      </c>
      <c r="B20" s="8" t="s">
        <v>163</v>
      </c>
      <c r="C20" s="8" t="s">
        <v>164</v>
      </c>
      <c r="D20" s="8" t="s">
        <v>165</v>
      </c>
      <c r="E20" s="8"/>
      <c r="F20" s="5">
        <v>2011</v>
      </c>
      <c r="G20" s="5"/>
      <c r="H20" s="5"/>
      <c r="I20" s="8" t="s">
        <v>166</v>
      </c>
      <c r="J20" s="13" t="s">
        <v>167</v>
      </c>
      <c r="K20" s="8" t="s">
        <v>37</v>
      </c>
      <c r="L20" s="5" t="s">
        <v>38</v>
      </c>
      <c r="M20" s="8" t="s">
        <v>46</v>
      </c>
      <c r="N20" s="8" t="s">
        <v>56</v>
      </c>
      <c r="O20" s="8" t="s">
        <v>57</v>
      </c>
      <c r="P20" s="5">
        <v>1</v>
      </c>
      <c r="Q20" s="5" t="s">
        <v>67</v>
      </c>
      <c r="R20" s="5" t="s">
        <v>68</v>
      </c>
      <c r="S20" s="5" t="s">
        <v>69</v>
      </c>
      <c r="T20" s="5" t="s">
        <v>46</v>
      </c>
      <c r="U20" s="5" t="s">
        <v>46</v>
      </c>
      <c r="V20" s="5" t="s">
        <v>46</v>
      </c>
      <c r="W20" s="5" t="s">
        <v>46</v>
      </c>
      <c r="X20" s="5" t="s">
        <v>47</v>
      </c>
      <c r="Y20" s="10" t="s">
        <v>168</v>
      </c>
      <c r="Z20" s="14" t="s">
        <v>30</v>
      </c>
      <c r="AA20" s="14" t="s">
        <v>60</v>
      </c>
      <c r="AB20" s="15" t="s">
        <v>61</v>
      </c>
      <c r="AC20" s="5" t="s">
        <v>46</v>
      </c>
      <c r="AJ20" s="2"/>
    </row>
    <row r="21" spans="1:36" ht="30" hidden="1" customHeight="1" x14ac:dyDescent="0.15">
      <c r="A21" s="7" t="s">
        <v>30</v>
      </c>
      <c r="B21" s="8" t="s">
        <v>169</v>
      </c>
      <c r="C21" s="8" t="s">
        <v>170</v>
      </c>
      <c r="D21" s="8" t="s">
        <v>171</v>
      </c>
      <c r="E21" s="8"/>
      <c r="F21" s="5">
        <v>2007</v>
      </c>
      <c r="G21" s="5"/>
      <c r="H21" s="5"/>
      <c r="I21" s="8" t="s">
        <v>172</v>
      </c>
      <c r="J21" s="13" t="s">
        <v>173</v>
      </c>
      <c r="K21" s="8" t="s">
        <v>37</v>
      </c>
      <c r="L21" s="5" t="s">
        <v>38</v>
      </c>
      <c r="M21" s="8" t="s">
        <v>46</v>
      </c>
      <c r="N21" s="8" t="s">
        <v>56</v>
      </c>
      <c r="O21" s="8" t="s">
        <v>57</v>
      </c>
      <c r="P21" s="5">
        <v>2</v>
      </c>
      <c r="Q21" s="5" t="s">
        <v>67</v>
      </c>
      <c r="R21" s="5" t="s">
        <v>174</v>
      </c>
      <c r="S21" s="5" t="s">
        <v>69</v>
      </c>
      <c r="T21" s="5" t="s">
        <v>46</v>
      </c>
      <c r="U21" s="5" t="s">
        <v>46</v>
      </c>
      <c r="V21" s="5" t="s">
        <v>46</v>
      </c>
      <c r="W21" s="5" t="s">
        <v>46</v>
      </c>
      <c r="X21" s="5" t="s">
        <v>47</v>
      </c>
      <c r="Y21" s="10" t="s">
        <v>175</v>
      </c>
      <c r="Z21" s="14" t="s">
        <v>30</v>
      </c>
      <c r="AA21" s="14" t="s">
        <v>71</v>
      </c>
      <c r="AB21" s="15" t="s">
        <v>72</v>
      </c>
      <c r="AC21" s="5" t="s">
        <v>46</v>
      </c>
      <c r="AJ21" s="2"/>
    </row>
    <row r="22" spans="1:36" ht="30" hidden="1" customHeight="1" x14ac:dyDescent="0.15">
      <c r="A22" s="7" t="s">
        <v>30</v>
      </c>
      <c r="B22" s="8" t="s">
        <v>176</v>
      </c>
      <c r="C22" s="8" t="s">
        <v>177</v>
      </c>
      <c r="D22" s="8" t="s">
        <v>97</v>
      </c>
      <c r="E22" s="8"/>
      <c r="F22" s="5">
        <v>2011</v>
      </c>
      <c r="G22" s="5"/>
      <c r="H22" s="5"/>
      <c r="I22" s="8" t="s">
        <v>178</v>
      </c>
      <c r="J22" s="13" t="s">
        <v>179</v>
      </c>
      <c r="K22" s="8" t="s">
        <v>37</v>
      </c>
      <c r="L22" s="5" t="s">
        <v>38</v>
      </c>
      <c r="M22" s="8" t="s">
        <v>46</v>
      </c>
      <c r="N22" s="8" t="s">
        <v>56</v>
      </c>
      <c r="O22" s="8" t="s">
        <v>57</v>
      </c>
      <c r="P22" s="5">
        <v>1</v>
      </c>
      <c r="Q22" s="5" t="s">
        <v>43</v>
      </c>
      <c r="R22" s="5" t="s">
        <v>44</v>
      </c>
      <c r="S22" s="5" t="s">
        <v>69</v>
      </c>
      <c r="T22" s="5" t="s">
        <v>46</v>
      </c>
      <c r="U22" s="5" t="s">
        <v>46</v>
      </c>
      <c r="V22" s="5" t="s">
        <v>46</v>
      </c>
      <c r="W22" s="5" t="s">
        <v>46</v>
      </c>
      <c r="X22" s="5" t="s">
        <v>47</v>
      </c>
      <c r="Y22" s="10" t="s">
        <v>180</v>
      </c>
      <c r="Z22" s="14" t="s">
        <v>30</v>
      </c>
      <c r="AA22" s="14" t="s">
        <v>60</v>
      </c>
      <c r="AB22" s="15" t="s">
        <v>61</v>
      </c>
      <c r="AC22" s="5" t="s">
        <v>46</v>
      </c>
      <c r="AJ22" s="2"/>
    </row>
    <row r="23" spans="1:36" ht="30" hidden="1" customHeight="1" x14ac:dyDescent="0.15">
      <c r="A23" s="7" t="s">
        <v>30</v>
      </c>
      <c r="B23" s="8" t="s">
        <v>181</v>
      </c>
      <c r="C23" s="8" t="s">
        <v>182</v>
      </c>
      <c r="D23" s="8" t="s">
        <v>183</v>
      </c>
      <c r="E23" s="8" t="s">
        <v>184</v>
      </c>
      <c r="F23" s="5">
        <v>2018</v>
      </c>
      <c r="G23" s="5" t="s">
        <v>185</v>
      </c>
      <c r="H23" s="5" t="s">
        <v>186</v>
      </c>
      <c r="I23" s="8" t="s">
        <v>187</v>
      </c>
      <c r="J23" s="13" t="s">
        <v>188</v>
      </c>
      <c r="K23" s="8" t="s">
        <v>37</v>
      </c>
      <c r="L23" s="5" t="s">
        <v>38</v>
      </c>
      <c r="M23" s="8" t="s">
        <v>39</v>
      </c>
      <c r="N23" s="8" t="s">
        <v>56</v>
      </c>
      <c r="O23" s="8" t="s">
        <v>112</v>
      </c>
      <c r="P23" s="5">
        <v>1</v>
      </c>
      <c r="Q23" s="5" t="s">
        <v>91</v>
      </c>
      <c r="R23" s="5" t="s">
        <v>44</v>
      </c>
      <c r="S23" s="5" t="s">
        <v>69</v>
      </c>
      <c r="T23" s="5" t="s">
        <v>46</v>
      </c>
      <c r="U23" s="5" t="s">
        <v>46</v>
      </c>
      <c r="V23" s="5" t="s">
        <v>46</v>
      </c>
      <c r="W23" s="5" t="s">
        <v>46</v>
      </c>
      <c r="X23" s="5" t="s">
        <v>47</v>
      </c>
      <c r="Y23" s="10" t="s">
        <v>189</v>
      </c>
      <c r="Z23" s="14" t="s">
        <v>30</v>
      </c>
      <c r="AA23" s="14" t="s">
        <v>60</v>
      </c>
      <c r="AB23" s="15" t="s">
        <v>61</v>
      </c>
      <c r="AC23" s="5" t="s">
        <v>46</v>
      </c>
      <c r="AJ23" s="2"/>
    </row>
    <row r="24" spans="1:36" ht="30" hidden="1" customHeight="1" x14ac:dyDescent="0.15">
      <c r="A24" s="7" t="s">
        <v>30</v>
      </c>
      <c r="B24" s="8" t="s">
        <v>190</v>
      </c>
      <c r="C24" s="8" t="s">
        <v>191</v>
      </c>
      <c r="D24" s="8" t="s">
        <v>87</v>
      </c>
      <c r="E24" s="8" t="s">
        <v>88</v>
      </c>
      <c r="F24" s="5">
        <v>2013</v>
      </c>
      <c r="G24" s="5">
        <v>337</v>
      </c>
      <c r="H24" s="5">
        <v>356</v>
      </c>
      <c r="I24" s="8" t="s">
        <v>192</v>
      </c>
      <c r="J24" s="9" t="s">
        <v>193</v>
      </c>
      <c r="K24" s="8" t="s">
        <v>37</v>
      </c>
      <c r="L24" s="5" t="s">
        <v>38</v>
      </c>
      <c r="M24" s="8" t="s">
        <v>39</v>
      </c>
      <c r="N24" s="8" t="s">
        <v>40</v>
      </c>
      <c r="O24" s="8" t="s">
        <v>41</v>
      </c>
      <c r="P24" s="5" t="s">
        <v>42</v>
      </c>
      <c r="Q24" s="5" t="s">
        <v>91</v>
      </c>
      <c r="R24" s="5" t="s">
        <v>44</v>
      </c>
      <c r="S24" s="5" t="s">
        <v>69</v>
      </c>
      <c r="T24" s="5" t="s">
        <v>46</v>
      </c>
      <c r="U24" s="5" t="s">
        <v>46</v>
      </c>
      <c r="V24" s="5" t="s">
        <v>46</v>
      </c>
      <c r="W24" s="5" t="s">
        <v>46</v>
      </c>
      <c r="X24" s="5" t="s">
        <v>47</v>
      </c>
      <c r="Y24" s="10" t="s">
        <v>194</v>
      </c>
      <c r="Z24" s="11" t="s">
        <v>30</v>
      </c>
      <c r="AA24" s="11" t="s">
        <v>49</v>
      </c>
      <c r="AB24" s="12" t="s">
        <v>195</v>
      </c>
      <c r="AC24" s="5" t="s">
        <v>46</v>
      </c>
      <c r="AJ24" s="2"/>
    </row>
    <row r="25" spans="1:36" ht="30" hidden="1" customHeight="1" x14ac:dyDescent="0.15">
      <c r="A25" s="7" t="s">
        <v>30</v>
      </c>
      <c r="B25" s="8" t="s">
        <v>196</v>
      </c>
      <c r="C25" s="8" t="s">
        <v>197</v>
      </c>
      <c r="D25" s="8" t="s">
        <v>198</v>
      </c>
      <c r="E25" s="8" t="s">
        <v>199</v>
      </c>
      <c r="F25" s="5">
        <v>2018</v>
      </c>
      <c r="G25" s="5" t="s">
        <v>200</v>
      </c>
      <c r="H25" s="5" t="s">
        <v>201</v>
      </c>
      <c r="I25" s="8" t="s">
        <v>202</v>
      </c>
      <c r="J25" s="13" t="s">
        <v>203</v>
      </c>
      <c r="K25" s="8" t="s">
        <v>37</v>
      </c>
      <c r="L25" s="5" t="s">
        <v>38</v>
      </c>
      <c r="M25" s="8" t="s">
        <v>39</v>
      </c>
      <c r="N25" s="8" t="s">
        <v>56</v>
      </c>
      <c r="O25" s="8" t="s">
        <v>112</v>
      </c>
      <c r="P25" s="5">
        <v>1</v>
      </c>
      <c r="Q25" s="5" t="s">
        <v>43</v>
      </c>
      <c r="R25" s="5" t="s">
        <v>44</v>
      </c>
      <c r="S25" s="5" t="s">
        <v>69</v>
      </c>
      <c r="T25" s="5" t="s">
        <v>46</v>
      </c>
      <c r="U25" s="5" t="s">
        <v>46</v>
      </c>
      <c r="V25" s="5" t="s">
        <v>46</v>
      </c>
      <c r="W25" s="5" t="s">
        <v>46</v>
      </c>
      <c r="X25" s="5" t="s">
        <v>47</v>
      </c>
      <c r="Y25" s="10" t="s">
        <v>204</v>
      </c>
      <c r="Z25" s="14" t="s">
        <v>30</v>
      </c>
      <c r="AA25" s="14" t="s">
        <v>60</v>
      </c>
      <c r="AB25" s="15" t="s">
        <v>61</v>
      </c>
      <c r="AC25" s="5" t="s">
        <v>46</v>
      </c>
      <c r="AJ25" s="2"/>
    </row>
    <row r="26" spans="1:36" ht="30" hidden="1" customHeight="1" x14ac:dyDescent="0.15">
      <c r="A26" s="7" t="s">
        <v>30</v>
      </c>
      <c r="B26" s="8" t="s">
        <v>205</v>
      </c>
      <c r="C26" s="8" t="s">
        <v>206</v>
      </c>
      <c r="D26" s="8" t="s">
        <v>206</v>
      </c>
      <c r="E26" s="8" t="s">
        <v>206</v>
      </c>
      <c r="F26" s="5">
        <v>2022</v>
      </c>
      <c r="G26" s="5"/>
      <c r="H26" s="5"/>
      <c r="I26" s="8" t="s">
        <v>46</v>
      </c>
      <c r="J26" s="13" t="s">
        <v>207</v>
      </c>
      <c r="K26" s="8" t="s">
        <v>37</v>
      </c>
      <c r="L26" s="5" t="s">
        <v>38</v>
      </c>
      <c r="M26" s="8" t="s">
        <v>208</v>
      </c>
      <c r="N26" s="8" t="s">
        <v>56</v>
      </c>
      <c r="O26" s="8" t="s">
        <v>57</v>
      </c>
      <c r="P26" s="5">
        <v>1</v>
      </c>
      <c r="Q26" s="5"/>
      <c r="R26" s="5"/>
      <c r="S26" s="5"/>
      <c r="T26" s="5" t="s">
        <v>46</v>
      </c>
      <c r="U26" s="5" t="s">
        <v>46</v>
      </c>
      <c r="V26" s="5" t="s">
        <v>46</v>
      </c>
      <c r="W26" s="5" t="s">
        <v>46</v>
      </c>
      <c r="X26" s="5" t="s">
        <v>47</v>
      </c>
      <c r="Y26" s="10" t="s">
        <v>209</v>
      </c>
      <c r="Z26" s="14" t="s">
        <v>30</v>
      </c>
      <c r="AA26" s="14" t="s">
        <v>60</v>
      </c>
      <c r="AB26" s="15" t="s">
        <v>148</v>
      </c>
      <c r="AC26" s="5" t="s">
        <v>46</v>
      </c>
      <c r="AJ26" s="2"/>
    </row>
    <row r="27" spans="1:36" ht="30" hidden="1" customHeight="1" x14ac:dyDescent="0.15">
      <c r="A27" s="7" t="s">
        <v>30</v>
      </c>
      <c r="B27" s="8" t="s">
        <v>210</v>
      </c>
      <c r="C27" s="8" t="s">
        <v>211</v>
      </c>
      <c r="D27" s="8" t="s">
        <v>33</v>
      </c>
      <c r="E27" s="8"/>
      <c r="F27" s="5">
        <v>2006</v>
      </c>
      <c r="G27" s="5"/>
      <c r="H27" s="5"/>
      <c r="I27" s="8" t="s">
        <v>212</v>
      </c>
      <c r="J27" s="13" t="s">
        <v>213</v>
      </c>
      <c r="K27" s="8" t="s">
        <v>37</v>
      </c>
      <c r="L27" s="5" t="s">
        <v>38</v>
      </c>
      <c r="M27" s="8" t="s">
        <v>46</v>
      </c>
      <c r="N27" s="8" t="s">
        <v>56</v>
      </c>
      <c r="O27" s="8" t="s">
        <v>57</v>
      </c>
      <c r="P27" s="5">
        <v>1</v>
      </c>
      <c r="Q27" s="5" t="s">
        <v>43</v>
      </c>
      <c r="R27" s="5" t="s">
        <v>44</v>
      </c>
      <c r="S27" s="5" t="s">
        <v>69</v>
      </c>
      <c r="T27" s="5" t="s">
        <v>46</v>
      </c>
      <c r="U27" s="5" t="s">
        <v>46</v>
      </c>
      <c r="V27" s="5" t="s">
        <v>46</v>
      </c>
      <c r="W27" s="5" t="s">
        <v>46</v>
      </c>
      <c r="X27" s="5" t="s">
        <v>47</v>
      </c>
      <c r="Y27" s="10" t="s">
        <v>214</v>
      </c>
      <c r="Z27" s="14" t="s">
        <v>30</v>
      </c>
      <c r="AA27" s="14" t="s">
        <v>60</v>
      </c>
      <c r="AB27" s="15" t="s">
        <v>61</v>
      </c>
      <c r="AC27" s="5" t="s">
        <v>46</v>
      </c>
      <c r="AJ27" s="2"/>
    </row>
    <row r="28" spans="1:36" ht="30" hidden="1" customHeight="1" x14ac:dyDescent="0.15">
      <c r="A28" s="7" t="s">
        <v>30</v>
      </c>
      <c r="B28" s="8" t="s">
        <v>215</v>
      </c>
      <c r="C28" s="8" t="s">
        <v>216</v>
      </c>
      <c r="D28" s="8" t="s">
        <v>217</v>
      </c>
      <c r="E28" s="8" t="s">
        <v>218</v>
      </c>
      <c r="F28" s="5">
        <v>2020</v>
      </c>
      <c r="G28" s="5" t="s">
        <v>219</v>
      </c>
      <c r="H28" s="5"/>
      <c r="I28" s="8" t="s">
        <v>220</v>
      </c>
      <c r="J28" s="13" t="s">
        <v>221</v>
      </c>
      <c r="K28" s="8" t="s">
        <v>37</v>
      </c>
      <c r="L28" s="5" t="s">
        <v>38</v>
      </c>
      <c r="M28" s="8" t="s">
        <v>39</v>
      </c>
      <c r="N28" s="8" t="s">
        <v>222</v>
      </c>
      <c r="O28" s="8" t="s">
        <v>223</v>
      </c>
      <c r="P28" s="5">
        <v>1</v>
      </c>
      <c r="Q28" s="5" t="s">
        <v>43</v>
      </c>
      <c r="R28" s="5" t="s">
        <v>113</v>
      </c>
      <c r="S28" s="5" t="s">
        <v>224</v>
      </c>
      <c r="T28" s="5">
        <v>5</v>
      </c>
      <c r="U28" s="5">
        <v>5</v>
      </c>
      <c r="V28" s="5">
        <v>5</v>
      </c>
      <c r="W28" s="5">
        <v>3</v>
      </c>
      <c r="X28" s="16">
        <f>Lit_rev_final[[#This Row],[Foundationality_1_5]]*0.35+Lit_rev_final[[#This Row],[Topic_Fit_1_5]]*0.35+Lit_rev_final[[#This Row],[Outlet_Quality_1_5]]*0.2+(0.1*Lit_rev_final[[#This Row],[Bridge_Value_0_3]]/3*5)</f>
        <v>5</v>
      </c>
      <c r="Y28" s="10" t="s">
        <v>225</v>
      </c>
      <c r="Z28" s="14" t="s">
        <v>30</v>
      </c>
      <c r="AA28" s="14" t="s">
        <v>60</v>
      </c>
      <c r="AB28" s="15" t="s">
        <v>61</v>
      </c>
      <c r="AC28" s="5" t="s">
        <v>46</v>
      </c>
      <c r="AJ28" s="2"/>
    </row>
    <row r="29" spans="1:36" ht="30" customHeight="1" x14ac:dyDescent="0.15">
      <c r="A29" s="7" t="s">
        <v>30</v>
      </c>
      <c r="B29" s="8" t="s">
        <v>226</v>
      </c>
      <c r="C29" s="8" t="s">
        <v>227</v>
      </c>
      <c r="D29" s="8" t="s">
        <v>228</v>
      </c>
      <c r="E29" s="8" t="s">
        <v>229</v>
      </c>
      <c r="F29" s="5">
        <v>2023</v>
      </c>
      <c r="G29" s="5"/>
      <c r="H29" s="5"/>
      <c r="I29" s="8" t="s">
        <v>230</v>
      </c>
      <c r="J29" s="13" t="s">
        <v>231</v>
      </c>
      <c r="K29" s="8" t="s">
        <v>232</v>
      </c>
      <c r="L29" s="5" t="s">
        <v>233</v>
      </c>
      <c r="M29" s="8" t="s">
        <v>234</v>
      </c>
      <c r="N29" s="8" t="s">
        <v>235</v>
      </c>
      <c r="O29" s="8" t="s">
        <v>120</v>
      </c>
      <c r="P29" s="5">
        <v>1</v>
      </c>
      <c r="Q29" s="5" t="s">
        <v>67</v>
      </c>
      <c r="R29" s="5"/>
      <c r="S29" s="5" t="s">
        <v>69</v>
      </c>
      <c r="T29" s="5">
        <v>5</v>
      </c>
      <c r="U29" s="5">
        <v>5</v>
      </c>
      <c r="V29" s="5">
        <v>4</v>
      </c>
      <c r="W29" s="5">
        <v>3</v>
      </c>
      <c r="X29" s="16">
        <f>Lit_rev_final[[#This Row],[Foundationality_1_5]]*0.35+Lit_rev_final[[#This Row],[Topic_Fit_1_5]]*0.35+Lit_rev_final[[#This Row],[Outlet_Quality_1_5]]*0.2+(0.1*Lit_rev_final[[#This Row],[Bridge_Value_0_3]]/3*5)</f>
        <v>4.8</v>
      </c>
      <c r="Y29" s="10" t="s">
        <v>236</v>
      </c>
      <c r="Z29" s="14" t="s">
        <v>30</v>
      </c>
      <c r="AA29" s="14" t="s">
        <v>60</v>
      </c>
      <c r="AB29" s="15" t="s">
        <v>61</v>
      </c>
      <c r="AC29" s="16" t="s">
        <v>237</v>
      </c>
      <c r="AJ29" s="2"/>
    </row>
    <row r="30" spans="1:36" ht="30" hidden="1" customHeight="1" x14ac:dyDescent="0.15">
      <c r="A30" s="7" t="s">
        <v>30</v>
      </c>
      <c r="B30" s="8" t="s">
        <v>238</v>
      </c>
      <c r="C30" s="8" t="s">
        <v>239</v>
      </c>
      <c r="D30" s="8" t="s">
        <v>217</v>
      </c>
      <c r="E30" s="8" t="s">
        <v>218</v>
      </c>
      <c r="F30" s="5">
        <v>2021</v>
      </c>
      <c r="G30" s="5" t="s">
        <v>240</v>
      </c>
      <c r="H30" s="5"/>
      <c r="I30" s="8" t="s">
        <v>241</v>
      </c>
      <c r="J30" s="13" t="s">
        <v>242</v>
      </c>
      <c r="K30" s="8" t="s">
        <v>37</v>
      </c>
      <c r="L30" s="5" t="s">
        <v>38</v>
      </c>
      <c r="M30" s="8" t="s">
        <v>39</v>
      </c>
      <c r="N30" s="8" t="s">
        <v>222</v>
      </c>
      <c r="O30" s="8" t="s">
        <v>223</v>
      </c>
      <c r="P30" s="5">
        <v>1</v>
      </c>
      <c r="Q30" s="5" t="s">
        <v>43</v>
      </c>
      <c r="R30" s="5" t="s">
        <v>113</v>
      </c>
      <c r="S30" s="5" t="s">
        <v>224</v>
      </c>
      <c r="T30" s="5">
        <v>4</v>
      </c>
      <c r="U30" s="5">
        <v>5</v>
      </c>
      <c r="V30" s="5">
        <v>5</v>
      </c>
      <c r="W30" s="5">
        <v>3</v>
      </c>
      <c r="X30" s="16">
        <f>Lit_rev_final[[#This Row],[Foundationality_1_5]]*0.35+Lit_rev_final[[#This Row],[Topic_Fit_1_5]]*0.35+Lit_rev_final[[#This Row],[Outlet_Quality_1_5]]*0.2+(0.1*Lit_rev_final[[#This Row],[Bridge_Value_0_3]]/3*5)</f>
        <v>4.6500000000000004</v>
      </c>
      <c r="Y30" s="10" t="s">
        <v>243</v>
      </c>
      <c r="Z30" s="14" t="s">
        <v>30</v>
      </c>
      <c r="AA30" s="14" t="s">
        <v>60</v>
      </c>
      <c r="AB30" s="15" t="s">
        <v>61</v>
      </c>
      <c r="AC30" s="5" t="s">
        <v>46</v>
      </c>
      <c r="AJ30" s="2"/>
    </row>
    <row r="31" spans="1:36" ht="30" hidden="1" customHeight="1" x14ac:dyDescent="0.15">
      <c r="A31" s="7" t="s">
        <v>30</v>
      </c>
      <c r="B31" s="8" t="s">
        <v>244</v>
      </c>
      <c r="C31" s="8" t="s">
        <v>245</v>
      </c>
      <c r="D31" s="8" t="s">
        <v>246</v>
      </c>
      <c r="E31" s="8"/>
      <c r="F31" s="5">
        <v>2019</v>
      </c>
      <c r="G31" s="5"/>
      <c r="H31" s="5"/>
      <c r="I31" s="8" t="s">
        <v>247</v>
      </c>
      <c r="J31" s="13" t="s">
        <v>248</v>
      </c>
      <c r="K31" s="8" t="s">
        <v>37</v>
      </c>
      <c r="L31" s="5" t="s">
        <v>38</v>
      </c>
      <c r="M31" s="8" t="s">
        <v>46</v>
      </c>
      <c r="N31" s="8" t="s">
        <v>222</v>
      </c>
      <c r="O31" s="8" t="s">
        <v>120</v>
      </c>
      <c r="P31" s="5">
        <v>2</v>
      </c>
      <c r="Q31" s="5" t="s">
        <v>67</v>
      </c>
      <c r="R31" s="5" t="s">
        <v>174</v>
      </c>
      <c r="S31" s="5" t="s">
        <v>69</v>
      </c>
      <c r="T31" s="5">
        <v>4</v>
      </c>
      <c r="U31" s="5">
        <v>5</v>
      </c>
      <c r="V31" s="5">
        <v>4</v>
      </c>
      <c r="W31" s="5">
        <v>3</v>
      </c>
      <c r="X31" s="16">
        <f>Lit_rev_final[[#This Row],[Foundationality_1_5]]*0.35+Lit_rev_final[[#This Row],[Topic_Fit_1_5]]*0.35+Lit_rev_final[[#This Row],[Outlet_Quality_1_5]]*0.2+(0.1*Lit_rev_final[[#This Row],[Bridge_Value_0_3]]/3*5)</f>
        <v>4.45</v>
      </c>
      <c r="Y31" s="10" t="s">
        <v>249</v>
      </c>
      <c r="Z31" s="14" t="s">
        <v>30</v>
      </c>
      <c r="AA31" s="14" t="s">
        <v>71</v>
      </c>
      <c r="AB31" s="15" t="s">
        <v>72</v>
      </c>
      <c r="AC31" s="5" t="s">
        <v>46</v>
      </c>
      <c r="AJ31" s="2"/>
    </row>
    <row r="32" spans="1:36" ht="30" customHeight="1" x14ac:dyDescent="0.15">
      <c r="A32" s="7" t="s">
        <v>30</v>
      </c>
      <c r="B32" s="8" t="s">
        <v>250</v>
      </c>
      <c r="C32" s="8" t="s">
        <v>251</v>
      </c>
      <c r="D32" s="8" t="s">
        <v>252</v>
      </c>
      <c r="E32" s="8" t="s">
        <v>253</v>
      </c>
      <c r="F32" s="5">
        <v>2025</v>
      </c>
      <c r="G32" s="5">
        <v>1213</v>
      </c>
      <c r="H32" s="5">
        <v>1226</v>
      </c>
      <c r="I32" s="8" t="s">
        <v>254</v>
      </c>
      <c r="J32" s="13" t="s">
        <v>255</v>
      </c>
      <c r="K32" s="8" t="s">
        <v>232</v>
      </c>
      <c r="L32" s="5" t="s">
        <v>233</v>
      </c>
      <c r="M32" s="8" t="s">
        <v>234</v>
      </c>
      <c r="N32" s="8" t="s">
        <v>256</v>
      </c>
      <c r="O32" s="8" t="s">
        <v>120</v>
      </c>
      <c r="P32" s="5">
        <v>1</v>
      </c>
      <c r="Q32" s="5" t="s">
        <v>67</v>
      </c>
      <c r="R32" s="5"/>
      <c r="S32" s="5" t="s">
        <v>224</v>
      </c>
      <c r="T32" s="5">
        <v>4</v>
      </c>
      <c r="U32" s="5">
        <v>5</v>
      </c>
      <c r="V32" s="5">
        <v>4</v>
      </c>
      <c r="W32" s="5">
        <v>3</v>
      </c>
      <c r="X32" s="16">
        <f>Lit_rev_final[[#This Row],[Foundationality_1_5]]*0.35+Lit_rev_final[[#This Row],[Topic_Fit_1_5]]*0.35+Lit_rev_final[[#This Row],[Outlet_Quality_1_5]]*0.2+(0.1*Lit_rev_final[[#This Row],[Bridge_Value_0_3]]/3*5)</f>
        <v>4.45</v>
      </c>
      <c r="Y32" s="10" t="s">
        <v>236</v>
      </c>
      <c r="Z32" s="14" t="s">
        <v>30</v>
      </c>
      <c r="AA32" s="14" t="s">
        <v>60</v>
      </c>
      <c r="AB32" s="15" t="s">
        <v>61</v>
      </c>
      <c r="AC32" s="16" t="s">
        <v>257</v>
      </c>
      <c r="AJ32" s="2"/>
    </row>
    <row r="33" spans="1:36" ht="30" hidden="1" customHeight="1" x14ac:dyDescent="0.15">
      <c r="A33" s="7" t="s">
        <v>30</v>
      </c>
      <c r="B33" s="8" t="s">
        <v>258</v>
      </c>
      <c r="C33" s="8" t="s">
        <v>259</v>
      </c>
      <c r="D33" s="8" t="s">
        <v>260</v>
      </c>
      <c r="E33" s="8"/>
      <c r="F33" s="5">
        <v>2009</v>
      </c>
      <c r="G33" s="5"/>
      <c r="H33" s="5"/>
      <c r="I33" s="8" t="s">
        <v>261</v>
      </c>
      <c r="J33" s="13" t="s">
        <v>262</v>
      </c>
      <c r="K33" s="8" t="s">
        <v>37</v>
      </c>
      <c r="L33" s="5" t="s">
        <v>38</v>
      </c>
      <c r="M33" s="8" t="s">
        <v>46</v>
      </c>
      <c r="N33" s="8" t="s">
        <v>222</v>
      </c>
      <c r="O33" s="8" t="s">
        <v>223</v>
      </c>
      <c r="P33" s="5">
        <v>1</v>
      </c>
      <c r="Q33" s="5" t="s">
        <v>43</v>
      </c>
      <c r="R33" s="5"/>
      <c r="S33" s="5" t="s">
        <v>224</v>
      </c>
      <c r="T33" s="5">
        <v>4</v>
      </c>
      <c r="U33" s="5">
        <v>4</v>
      </c>
      <c r="V33" s="5">
        <v>5</v>
      </c>
      <c r="W33" s="5">
        <v>3</v>
      </c>
      <c r="X33" s="16">
        <f>Lit_rev_final[[#This Row],[Foundationality_1_5]]*0.35+Lit_rev_final[[#This Row],[Topic_Fit_1_5]]*0.35+Lit_rev_final[[#This Row],[Outlet_Quality_1_5]]*0.2+(0.1*Lit_rev_final[[#This Row],[Bridge_Value_0_3]]/3*5)</f>
        <v>4.3</v>
      </c>
      <c r="Y33" s="10" t="s">
        <v>263</v>
      </c>
      <c r="Z33" s="14" t="s">
        <v>30</v>
      </c>
      <c r="AA33" s="14" t="s">
        <v>60</v>
      </c>
      <c r="AB33" s="15" t="s">
        <v>61</v>
      </c>
      <c r="AC33" s="5" t="s">
        <v>46</v>
      </c>
      <c r="AJ33" s="2"/>
    </row>
    <row r="34" spans="1:36" ht="30" hidden="1" customHeight="1" x14ac:dyDescent="0.15">
      <c r="A34" s="7" t="s">
        <v>30</v>
      </c>
      <c r="B34" s="8" t="s">
        <v>264</v>
      </c>
      <c r="C34" s="8" t="s">
        <v>265</v>
      </c>
      <c r="D34" s="8" t="s">
        <v>217</v>
      </c>
      <c r="E34" s="8"/>
      <c r="F34" s="5">
        <v>2007</v>
      </c>
      <c r="G34" s="5"/>
      <c r="H34" s="5"/>
      <c r="I34" s="8" t="s">
        <v>266</v>
      </c>
      <c r="J34" s="13" t="s">
        <v>267</v>
      </c>
      <c r="K34" s="8" t="s">
        <v>37</v>
      </c>
      <c r="L34" s="5" t="s">
        <v>38</v>
      </c>
      <c r="M34" s="8" t="s">
        <v>46</v>
      </c>
      <c r="N34" s="8" t="s">
        <v>222</v>
      </c>
      <c r="O34" s="8" t="s">
        <v>223</v>
      </c>
      <c r="P34" s="5">
        <v>1</v>
      </c>
      <c r="Q34" s="5" t="s">
        <v>43</v>
      </c>
      <c r="R34" s="5" t="s">
        <v>113</v>
      </c>
      <c r="S34" s="5" t="s">
        <v>224</v>
      </c>
      <c r="T34" s="5">
        <v>4</v>
      </c>
      <c r="U34" s="5">
        <v>4</v>
      </c>
      <c r="V34" s="5">
        <v>5</v>
      </c>
      <c r="W34" s="5">
        <v>3</v>
      </c>
      <c r="X34" s="16">
        <f>Lit_rev_final[[#This Row],[Foundationality_1_5]]*0.35+Lit_rev_final[[#This Row],[Topic_Fit_1_5]]*0.35+Lit_rev_final[[#This Row],[Outlet_Quality_1_5]]*0.2+(0.1*Lit_rev_final[[#This Row],[Bridge_Value_0_3]]/3*5)</f>
        <v>4.3</v>
      </c>
      <c r="Y34" s="10" t="s">
        <v>268</v>
      </c>
      <c r="Z34" s="14" t="s">
        <v>30</v>
      </c>
      <c r="AA34" s="14" t="s">
        <v>60</v>
      </c>
      <c r="AB34" s="15" t="s">
        <v>61</v>
      </c>
      <c r="AC34" s="5" t="s">
        <v>46</v>
      </c>
      <c r="AJ34" s="2"/>
    </row>
    <row r="35" spans="1:36" ht="30" hidden="1" customHeight="1" x14ac:dyDescent="0.15">
      <c r="A35" s="7" t="s">
        <v>30</v>
      </c>
      <c r="B35" s="8" t="s">
        <v>269</v>
      </c>
      <c r="C35" s="8" t="s">
        <v>270</v>
      </c>
      <c r="D35" s="8" t="s">
        <v>217</v>
      </c>
      <c r="E35" s="8"/>
      <c r="F35" s="5">
        <v>2012</v>
      </c>
      <c r="G35" s="5"/>
      <c r="H35" s="5"/>
      <c r="I35" s="8" t="s">
        <v>271</v>
      </c>
      <c r="J35" s="13" t="s">
        <v>272</v>
      </c>
      <c r="K35" s="8" t="s">
        <v>37</v>
      </c>
      <c r="L35" s="5" t="s">
        <v>38</v>
      </c>
      <c r="M35" s="8" t="s">
        <v>46</v>
      </c>
      <c r="N35" s="8" t="s">
        <v>222</v>
      </c>
      <c r="O35" s="8" t="s">
        <v>223</v>
      </c>
      <c r="P35" s="5">
        <v>1</v>
      </c>
      <c r="Q35" s="5" t="s">
        <v>43</v>
      </c>
      <c r="R35" s="5" t="s">
        <v>113</v>
      </c>
      <c r="S35" s="5" t="s">
        <v>224</v>
      </c>
      <c r="T35" s="5">
        <v>4</v>
      </c>
      <c r="U35" s="5">
        <v>4</v>
      </c>
      <c r="V35" s="5">
        <v>5</v>
      </c>
      <c r="W35" s="5">
        <v>3</v>
      </c>
      <c r="X35" s="16">
        <f>Lit_rev_final[[#This Row],[Foundationality_1_5]]*0.35+Lit_rev_final[[#This Row],[Topic_Fit_1_5]]*0.35+Lit_rev_final[[#This Row],[Outlet_Quality_1_5]]*0.2+(0.1*Lit_rev_final[[#This Row],[Bridge_Value_0_3]]/3*5)</f>
        <v>4.3</v>
      </c>
      <c r="Y35" s="10" t="s">
        <v>273</v>
      </c>
      <c r="Z35" s="14" t="s">
        <v>30</v>
      </c>
      <c r="AA35" s="14" t="s">
        <v>60</v>
      </c>
      <c r="AB35" s="15" t="s">
        <v>61</v>
      </c>
      <c r="AC35" s="5" t="s">
        <v>46</v>
      </c>
      <c r="AJ35" s="2"/>
    </row>
    <row r="36" spans="1:36" ht="30" hidden="1" customHeight="1" x14ac:dyDescent="0.15">
      <c r="A36" s="7" t="s">
        <v>30</v>
      </c>
      <c r="B36" s="8" t="s">
        <v>274</v>
      </c>
      <c r="C36" s="8" t="s">
        <v>275</v>
      </c>
      <c r="D36" s="8" t="s">
        <v>276</v>
      </c>
      <c r="E36" s="8"/>
      <c r="F36" s="5">
        <v>2013</v>
      </c>
      <c r="G36" s="5"/>
      <c r="H36" s="5"/>
      <c r="I36" s="8" t="s">
        <v>277</v>
      </c>
      <c r="J36" s="13" t="s">
        <v>278</v>
      </c>
      <c r="K36" s="8" t="s">
        <v>37</v>
      </c>
      <c r="L36" s="5" t="s">
        <v>38</v>
      </c>
      <c r="M36" s="8" t="s">
        <v>46</v>
      </c>
      <c r="N36" s="8" t="s">
        <v>222</v>
      </c>
      <c r="O36" s="8" t="s">
        <v>223</v>
      </c>
      <c r="P36" s="5">
        <v>1</v>
      </c>
      <c r="Q36" s="5" t="s">
        <v>67</v>
      </c>
      <c r="R36" s="5"/>
      <c r="S36" s="5" t="s">
        <v>69</v>
      </c>
      <c r="T36" s="5">
        <v>4</v>
      </c>
      <c r="U36" s="5">
        <v>5</v>
      </c>
      <c r="V36" s="5">
        <v>4</v>
      </c>
      <c r="W36" s="5">
        <v>2</v>
      </c>
      <c r="X36" s="16">
        <f>Lit_rev_final[[#This Row],[Foundationality_1_5]]*0.35+Lit_rev_final[[#This Row],[Topic_Fit_1_5]]*0.35+Lit_rev_final[[#This Row],[Outlet_Quality_1_5]]*0.2+(0.1*Lit_rev_final[[#This Row],[Bridge_Value_0_3]]/3*5)</f>
        <v>4.2833333333333332</v>
      </c>
      <c r="Y36" s="10" t="s">
        <v>279</v>
      </c>
      <c r="Z36" s="14" t="s">
        <v>30</v>
      </c>
      <c r="AA36" s="14" t="s">
        <v>60</v>
      </c>
      <c r="AB36" s="15" t="s">
        <v>61</v>
      </c>
      <c r="AC36" s="5" t="s">
        <v>46</v>
      </c>
      <c r="AJ36" s="2"/>
    </row>
    <row r="37" spans="1:36" ht="30" hidden="1" customHeight="1" x14ac:dyDescent="0.15">
      <c r="A37" s="7" t="s">
        <v>30</v>
      </c>
      <c r="B37" s="8" t="s">
        <v>280</v>
      </c>
      <c r="C37" s="8" t="s">
        <v>281</v>
      </c>
      <c r="D37" s="8" t="s">
        <v>276</v>
      </c>
      <c r="E37" s="8"/>
      <c r="F37" s="5">
        <v>2022</v>
      </c>
      <c r="G37" s="5"/>
      <c r="H37" s="5"/>
      <c r="I37" s="8" t="s">
        <v>282</v>
      </c>
      <c r="J37" s="13" t="s">
        <v>283</v>
      </c>
      <c r="K37" s="8" t="s">
        <v>37</v>
      </c>
      <c r="L37" s="5" t="s">
        <v>38</v>
      </c>
      <c r="M37" s="8" t="s">
        <v>46</v>
      </c>
      <c r="N37" s="8" t="s">
        <v>235</v>
      </c>
      <c r="O37" s="8" t="s">
        <v>120</v>
      </c>
      <c r="P37" s="5">
        <v>1</v>
      </c>
      <c r="Q37" s="5" t="s">
        <v>67</v>
      </c>
      <c r="R37" s="5"/>
      <c r="S37" s="5" t="s">
        <v>69</v>
      </c>
      <c r="T37" s="5">
        <v>4</v>
      </c>
      <c r="U37" s="5">
        <v>5</v>
      </c>
      <c r="V37" s="5">
        <v>4</v>
      </c>
      <c r="W37" s="5">
        <v>2</v>
      </c>
      <c r="X37" s="16">
        <f>Lit_rev_final[[#This Row],[Foundationality_1_5]]*0.35+Lit_rev_final[[#This Row],[Topic_Fit_1_5]]*0.35+Lit_rev_final[[#This Row],[Outlet_Quality_1_5]]*0.2+(0.1*Lit_rev_final[[#This Row],[Bridge_Value_0_3]]/3*5)</f>
        <v>4.2833333333333332</v>
      </c>
      <c r="Y37" s="10" t="s">
        <v>284</v>
      </c>
      <c r="Z37" s="14" t="s">
        <v>30</v>
      </c>
      <c r="AA37" s="14" t="s">
        <v>60</v>
      </c>
      <c r="AB37" s="15" t="s">
        <v>61</v>
      </c>
      <c r="AC37" s="5" t="s">
        <v>46</v>
      </c>
      <c r="AJ37" s="2"/>
    </row>
    <row r="38" spans="1:36" ht="30" hidden="1" customHeight="1" x14ac:dyDescent="0.15">
      <c r="A38" s="7" t="s">
        <v>30</v>
      </c>
      <c r="B38" s="8" t="s">
        <v>285</v>
      </c>
      <c r="C38" s="8" t="s">
        <v>286</v>
      </c>
      <c r="D38" s="8" t="s">
        <v>287</v>
      </c>
      <c r="E38" s="8"/>
      <c r="F38" s="5">
        <v>2023</v>
      </c>
      <c r="G38" s="5"/>
      <c r="H38" s="5"/>
      <c r="I38" s="8" t="s">
        <v>288</v>
      </c>
      <c r="J38" s="13" t="s">
        <v>289</v>
      </c>
      <c r="K38" s="8" t="s">
        <v>37</v>
      </c>
      <c r="L38" s="5" t="s">
        <v>38</v>
      </c>
      <c r="M38" s="8" t="s">
        <v>46</v>
      </c>
      <c r="N38" s="8" t="s">
        <v>222</v>
      </c>
      <c r="O38" s="8" t="s">
        <v>120</v>
      </c>
      <c r="P38" s="5">
        <v>1</v>
      </c>
      <c r="Q38" s="5" t="s">
        <v>67</v>
      </c>
      <c r="R38" s="5"/>
      <c r="S38" s="5" t="s">
        <v>290</v>
      </c>
      <c r="T38" s="5">
        <v>4</v>
      </c>
      <c r="U38" s="5">
        <v>5</v>
      </c>
      <c r="V38" s="5">
        <v>4</v>
      </c>
      <c r="W38" s="5">
        <v>2</v>
      </c>
      <c r="X38" s="16">
        <f>Lit_rev_final[[#This Row],[Foundationality_1_5]]*0.35+Lit_rev_final[[#This Row],[Topic_Fit_1_5]]*0.35+Lit_rev_final[[#This Row],[Outlet_Quality_1_5]]*0.2+(0.1*Lit_rev_final[[#This Row],[Bridge_Value_0_3]]/3*5)</f>
        <v>4.2833333333333332</v>
      </c>
      <c r="Y38" s="10" t="s">
        <v>291</v>
      </c>
      <c r="Z38" s="14" t="s">
        <v>30</v>
      </c>
      <c r="AA38" s="14" t="s">
        <v>60</v>
      </c>
      <c r="AB38" s="15" t="s">
        <v>61</v>
      </c>
      <c r="AC38" s="5" t="s">
        <v>46</v>
      </c>
      <c r="AJ38" s="2"/>
    </row>
    <row r="39" spans="1:36" ht="30" hidden="1" customHeight="1" x14ac:dyDescent="0.15">
      <c r="A39" s="7" t="s">
        <v>30</v>
      </c>
      <c r="B39" s="8" t="s">
        <v>292</v>
      </c>
      <c r="C39" s="8" t="s">
        <v>293</v>
      </c>
      <c r="D39" s="8" t="s">
        <v>276</v>
      </c>
      <c r="E39" s="8"/>
      <c r="F39" s="5">
        <v>2017</v>
      </c>
      <c r="G39" s="5"/>
      <c r="H39" s="5"/>
      <c r="I39" s="8" t="s">
        <v>294</v>
      </c>
      <c r="J39" s="13" t="s">
        <v>295</v>
      </c>
      <c r="K39" s="8" t="s">
        <v>37</v>
      </c>
      <c r="L39" s="5" t="s">
        <v>38</v>
      </c>
      <c r="M39" s="8" t="s">
        <v>46</v>
      </c>
      <c r="N39" s="8" t="s">
        <v>222</v>
      </c>
      <c r="O39" s="8" t="s">
        <v>223</v>
      </c>
      <c r="P39" s="5">
        <v>1</v>
      </c>
      <c r="Q39" s="5" t="s">
        <v>67</v>
      </c>
      <c r="R39" s="5"/>
      <c r="S39" s="5" t="s">
        <v>69</v>
      </c>
      <c r="T39" s="5">
        <v>4</v>
      </c>
      <c r="U39" s="5">
        <v>5</v>
      </c>
      <c r="V39" s="5">
        <v>4</v>
      </c>
      <c r="W39" s="5">
        <v>2</v>
      </c>
      <c r="X39" s="16">
        <f>Lit_rev_final[[#This Row],[Foundationality_1_5]]*0.35+Lit_rev_final[[#This Row],[Topic_Fit_1_5]]*0.35+Lit_rev_final[[#This Row],[Outlet_Quality_1_5]]*0.2+(0.1*Lit_rev_final[[#This Row],[Bridge_Value_0_3]]/3*5)</f>
        <v>4.2833333333333332</v>
      </c>
      <c r="Y39" s="10" t="s">
        <v>296</v>
      </c>
      <c r="Z39" s="14" t="s">
        <v>30</v>
      </c>
      <c r="AA39" s="14" t="s">
        <v>60</v>
      </c>
      <c r="AB39" s="15" t="s">
        <v>61</v>
      </c>
      <c r="AC39" s="5" t="s">
        <v>46</v>
      </c>
      <c r="AJ39" s="2"/>
    </row>
    <row r="40" spans="1:36" ht="30" customHeight="1" x14ac:dyDescent="0.15">
      <c r="A40" s="5" t="s">
        <v>156</v>
      </c>
      <c r="B40" s="8" t="s">
        <v>297</v>
      </c>
      <c r="C40" s="8" t="s">
        <v>298</v>
      </c>
      <c r="D40" s="8" t="s">
        <v>299</v>
      </c>
      <c r="E40" s="8" t="s">
        <v>300</v>
      </c>
      <c r="F40" s="5">
        <v>2023</v>
      </c>
      <c r="G40" s="5"/>
      <c r="H40" s="5"/>
      <c r="I40" s="8" t="s">
        <v>301</v>
      </c>
      <c r="J40" s="13" t="s">
        <v>302</v>
      </c>
      <c r="K40" s="8" t="s">
        <v>303</v>
      </c>
      <c r="L40" s="5" t="s">
        <v>233</v>
      </c>
      <c r="M40" s="8" t="s">
        <v>234</v>
      </c>
      <c r="N40" s="8" t="s">
        <v>256</v>
      </c>
      <c r="O40" s="8" t="s">
        <v>120</v>
      </c>
      <c r="P40" s="5">
        <v>1</v>
      </c>
      <c r="Q40" s="5"/>
      <c r="R40" s="5"/>
      <c r="S40" s="5"/>
      <c r="T40" s="5">
        <v>4</v>
      </c>
      <c r="U40" s="5">
        <v>5</v>
      </c>
      <c r="V40" s="5">
        <v>3</v>
      </c>
      <c r="W40" s="5">
        <v>3</v>
      </c>
      <c r="X40" s="16">
        <f>Lit_rev_final[[#This Row],[Foundationality_1_5]]*0.35+Lit_rev_final[[#This Row],[Topic_Fit_1_5]]*0.35+Lit_rev_final[[#This Row],[Outlet_Quality_1_5]]*0.2+(0.1*Lit_rev_final[[#This Row],[Bridge_Value_0_3]]/3*5)</f>
        <v>4.25</v>
      </c>
      <c r="Y40" s="10" t="s">
        <v>304</v>
      </c>
      <c r="Z40" s="5" t="s">
        <v>156</v>
      </c>
      <c r="AA40" s="5" t="s">
        <v>46</v>
      </c>
      <c r="AB40" s="5" t="s">
        <v>46</v>
      </c>
      <c r="AC40" s="16" t="s">
        <v>305</v>
      </c>
      <c r="AJ40" s="2"/>
    </row>
    <row r="41" spans="1:36" ht="30" hidden="1" customHeight="1" x14ac:dyDescent="0.15">
      <c r="A41" s="7" t="s">
        <v>30</v>
      </c>
      <c r="B41" s="8" t="s">
        <v>306</v>
      </c>
      <c r="C41" s="8" t="s">
        <v>307</v>
      </c>
      <c r="D41" s="8" t="s">
        <v>308</v>
      </c>
      <c r="E41" s="8"/>
      <c r="F41" s="5">
        <v>2017</v>
      </c>
      <c r="G41" s="5"/>
      <c r="H41" s="5"/>
      <c r="I41" s="8" t="s">
        <v>309</v>
      </c>
      <c r="J41" s="13" t="s">
        <v>310</v>
      </c>
      <c r="K41" s="8" t="s">
        <v>37</v>
      </c>
      <c r="L41" s="5" t="s">
        <v>38</v>
      </c>
      <c r="M41" s="8" t="s">
        <v>46</v>
      </c>
      <c r="N41" s="8" t="s">
        <v>222</v>
      </c>
      <c r="O41" s="8" t="s">
        <v>223</v>
      </c>
      <c r="P41" s="5">
        <v>1</v>
      </c>
      <c r="Q41" s="5"/>
      <c r="R41" s="5"/>
      <c r="S41" s="5"/>
      <c r="T41" s="5">
        <v>4</v>
      </c>
      <c r="U41" s="5">
        <v>5</v>
      </c>
      <c r="V41" s="5">
        <v>3</v>
      </c>
      <c r="W41" s="5">
        <v>3</v>
      </c>
      <c r="X41" s="16">
        <f>Lit_rev_final[[#This Row],[Foundationality_1_5]]*0.35+Lit_rev_final[[#This Row],[Topic_Fit_1_5]]*0.35+Lit_rev_final[[#This Row],[Outlet_Quality_1_5]]*0.2+(0.1*Lit_rev_final[[#This Row],[Bridge_Value_0_3]]/3*5)</f>
        <v>4.25</v>
      </c>
      <c r="Y41" s="10" t="s">
        <v>311</v>
      </c>
      <c r="Z41" s="14" t="s">
        <v>30</v>
      </c>
      <c r="AA41" s="14" t="s">
        <v>60</v>
      </c>
      <c r="AB41" s="15" t="s">
        <v>61</v>
      </c>
      <c r="AC41" s="5" t="s">
        <v>46</v>
      </c>
      <c r="AJ41" s="2"/>
    </row>
    <row r="42" spans="1:36" ht="30" hidden="1" customHeight="1" x14ac:dyDescent="0.15">
      <c r="A42" s="7" t="s">
        <v>30</v>
      </c>
      <c r="B42" s="8" t="s">
        <v>312</v>
      </c>
      <c r="C42" s="8" t="s">
        <v>313</v>
      </c>
      <c r="D42" s="8" t="s">
        <v>276</v>
      </c>
      <c r="E42" s="8"/>
      <c r="F42" s="5">
        <v>2021</v>
      </c>
      <c r="G42" s="5"/>
      <c r="H42" s="5"/>
      <c r="I42" s="8" t="s">
        <v>314</v>
      </c>
      <c r="J42" s="13" t="s">
        <v>315</v>
      </c>
      <c r="K42" s="8" t="s">
        <v>37</v>
      </c>
      <c r="L42" s="5" t="s">
        <v>38</v>
      </c>
      <c r="M42" s="8" t="s">
        <v>46</v>
      </c>
      <c r="N42" s="8" t="s">
        <v>235</v>
      </c>
      <c r="O42" s="8" t="s">
        <v>223</v>
      </c>
      <c r="P42" s="5">
        <v>2</v>
      </c>
      <c r="Q42" s="5" t="s">
        <v>67</v>
      </c>
      <c r="R42" s="5"/>
      <c r="S42" s="5" t="s">
        <v>69</v>
      </c>
      <c r="T42" s="5">
        <v>3</v>
      </c>
      <c r="U42" s="5">
        <v>5</v>
      </c>
      <c r="V42" s="5">
        <v>4</v>
      </c>
      <c r="W42" s="5">
        <v>2</v>
      </c>
      <c r="X42" s="16">
        <f>Lit_rev_final[[#This Row],[Foundationality_1_5]]*0.35+Lit_rev_final[[#This Row],[Topic_Fit_1_5]]*0.35+Lit_rev_final[[#This Row],[Outlet_Quality_1_5]]*0.2+(0.1*Lit_rev_final[[#This Row],[Bridge_Value_0_3]]/3*5)</f>
        <v>3.9333333333333331</v>
      </c>
      <c r="Y42" s="10" t="s">
        <v>316</v>
      </c>
      <c r="Z42" s="14" t="s">
        <v>30</v>
      </c>
      <c r="AA42" s="14" t="s">
        <v>71</v>
      </c>
      <c r="AB42" s="15" t="s">
        <v>72</v>
      </c>
      <c r="AC42" s="5" t="s">
        <v>46</v>
      </c>
      <c r="AJ42" s="2"/>
    </row>
    <row r="43" spans="1:36" ht="30" hidden="1" customHeight="1" x14ac:dyDescent="0.15">
      <c r="A43" s="7" t="s">
        <v>30</v>
      </c>
      <c r="B43" s="8" t="s">
        <v>317</v>
      </c>
      <c r="C43" s="8" t="s">
        <v>318</v>
      </c>
      <c r="D43" s="8" t="s">
        <v>276</v>
      </c>
      <c r="E43" s="8"/>
      <c r="F43" s="5">
        <v>2021</v>
      </c>
      <c r="G43" s="5"/>
      <c r="H43" s="5"/>
      <c r="I43" s="8" t="s">
        <v>319</v>
      </c>
      <c r="J43" s="13" t="s">
        <v>320</v>
      </c>
      <c r="K43" s="8" t="s">
        <v>37</v>
      </c>
      <c r="L43" s="5" t="s">
        <v>38</v>
      </c>
      <c r="M43" s="8" t="s">
        <v>46</v>
      </c>
      <c r="N43" s="8" t="s">
        <v>222</v>
      </c>
      <c r="O43" s="8" t="s">
        <v>223</v>
      </c>
      <c r="P43" s="5">
        <v>2</v>
      </c>
      <c r="Q43" s="5" t="s">
        <v>67</v>
      </c>
      <c r="R43" s="5"/>
      <c r="S43" s="5" t="s">
        <v>69</v>
      </c>
      <c r="T43" s="5">
        <v>3</v>
      </c>
      <c r="U43" s="5">
        <v>5</v>
      </c>
      <c r="V43" s="5">
        <v>4</v>
      </c>
      <c r="W43" s="5">
        <v>2</v>
      </c>
      <c r="X43" s="16">
        <f>Lit_rev_final[[#This Row],[Foundationality_1_5]]*0.35+Lit_rev_final[[#This Row],[Topic_Fit_1_5]]*0.35+Lit_rev_final[[#This Row],[Outlet_Quality_1_5]]*0.2+(0.1*Lit_rev_final[[#This Row],[Bridge_Value_0_3]]/3*5)</f>
        <v>3.9333333333333331</v>
      </c>
      <c r="Y43" s="10" t="s">
        <v>321</v>
      </c>
      <c r="Z43" s="14" t="s">
        <v>30</v>
      </c>
      <c r="AA43" s="14" t="s">
        <v>71</v>
      </c>
      <c r="AB43" s="15" t="s">
        <v>72</v>
      </c>
      <c r="AC43" s="5" t="s">
        <v>46</v>
      </c>
      <c r="AJ43" s="2"/>
    </row>
    <row r="44" spans="1:36" ht="30" hidden="1" customHeight="1" x14ac:dyDescent="0.15">
      <c r="A44" s="7" t="s">
        <v>30</v>
      </c>
      <c r="B44" s="8" t="s">
        <v>322</v>
      </c>
      <c r="C44" s="8" t="s">
        <v>323</v>
      </c>
      <c r="D44" s="8" t="s">
        <v>324</v>
      </c>
      <c r="E44" s="8"/>
      <c r="F44" s="5">
        <v>2005</v>
      </c>
      <c r="G44" s="5"/>
      <c r="H44" s="5"/>
      <c r="I44" s="8" t="s">
        <v>325</v>
      </c>
      <c r="J44" s="13" t="s">
        <v>326</v>
      </c>
      <c r="K44" s="8" t="s">
        <v>37</v>
      </c>
      <c r="L44" s="5" t="s">
        <v>38</v>
      </c>
      <c r="M44" s="8" t="s">
        <v>46</v>
      </c>
      <c r="N44" s="8" t="s">
        <v>222</v>
      </c>
      <c r="O44" s="8" t="s">
        <v>120</v>
      </c>
      <c r="P44" s="5">
        <v>2</v>
      </c>
      <c r="Q44" s="5"/>
      <c r="R44" s="5"/>
      <c r="S44" s="5"/>
      <c r="T44" s="5">
        <v>4</v>
      </c>
      <c r="U44" s="5">
        <v>4</v>
      </c>
      <c r="V44" s="5">
        <v>3</v>
      </c>
      <c r="W44" s="5">
        <v>3</v>
      </c>
      <c r="X44" s="16">
        <f>Lit_rev_final[[#This Row],[Foundationality_1_5]]*0.35+Lit_rev_final[[#This Row],[Topic_Fit_1_5]]*0.35+Lit_rev_final[[#This Row],[Outlet_Quality_1_5]]*0.2+(0.1*Lit_rev_final[[#This Row],[Bridge_Value_0_3]]/3*5)</f>
        <v>3.9</v>
      </c>
      <c r="Y44" s="10" t="s">
        <v>327</v>
      </c>
      <c r="Z44" s="14" t="s">
        <v>30</v>
      </c>
      <c r="AA44" s="14" t="s">
        <v>71</v>
      </c>
      <c r="AB44" s="15" t="s">
        <v>72</v>
      </c>
      <c r="AC44" s="5" t="s">
        <v>46</v>
      </c>
      <c r="AJ44" s="2"/>
    </row>
    <row r="45" spans="1:36" ht="30" customHeight="1" x14ac:dyDescent="0.15">
      <c r="A45" s="7" t="s">
        <v>30</v>
      </c>
      <c r="B45" s="8" t="s">
        <v>328</v>
      </c>
      <c r="C45" s="8" t="s">
        <v>329</v>
      </c>
      <c r="D45" s="8" t="s">
        <v>330</v>
      </c>
      <c r="E45" s="8" t="s">
        <v>331</v>
      </c>
      <c r="F45" s="5">
        <v>2024</v>
      </c>
      <c r="G45" s="5">
        <v>248</v>
      </c>
      <c r="H45" s="5">
        <v>268</v>
      </c>
      <c r="I45" s="8" t="s">
        <v>332</v>
      </c>
      <c r="J45" s="13" t="s">
        <v>333</v>
      </c>
      <c r="K45" s="8" t="s">
        <v>232</v>
      </c>
      <c r="L45" s="5" t="s">
        <v>233</v>
      </c>
      <c r="M45" s="8" t="s">
        <v>234</v>
      </c>
      <c r="N45" s="8" t="s">
        <v>256</v>
      </c>
      <c r="O45" s="8" t="s">
        <v>120</v>
      </c>
      <c r="P45" s="5">
        <v>2</v>
      </c>
      <c r="Q45" s="5" t="s">
        <v>67</v>
      </c>
      <c r="R45" s="5"/>
      <c r="S45" s="5" t="s">
        <v>290</v>
      </c>
      <c r="T45" s="5">
        <v>3</v>
      </c>
      <c r="U45" s="5">
        <v>5</v>
      </c>
      <c r="V45" s="5">
        <v>4</v>
      </c>
      <c r="W45" s="5">
        <v>1</v>
      </c>
      <c r="X45" s="16">
        <f>Lit_rev_final[[#This Row],[Foundationality_1_5]]*0.35+Lit_rev_final[[#This Row],[Topic_Fit_1_5]]*0.35+Lit_rev_final[[#This Row],[Outlet_Quality_1_5]]*0.2+(0.1*Lit_rev_final[[#This Row],[Bridge_Value_0_3]]/3*5)</f>
        <v>3.7666666666666662</v>
      </c>
      <c r="Y45" s="10" t="s">
        <v>236</v>
      </c>
      <c r="Z45" s="14" t="s">
        <v>30</v>
      </c>
      <c r="AA45" s="14" t="s">
        <v>71</v>
      </c>
      <c r="AB45" s="15" t="s">
        <v>72</v>
      </c>
      <c r="AC45" s="16" t="s">
        <v>334</v>
      </c>
      <c r="AJ45" s="2"/>
    </row>
    <row r="46" spans="1:36" ht="30" hidden="1" customHeight="1" x14ac:dyDescent="0.15">
      <c r="A46" s="7" t="s">
        <v>30</v>
      </c>
      <c r="B46" s="8" t="s">
        <v>335</v>
      </c>
      <c r="C46" s="8" t="s">
        <v>336</v>
      </c>
      <c r="D46" s="8" t="s">
        <v>337</v>
      </c>
      <c r="E46" s="8"/>
      <c r="F46" s="5">
        <v>2026</v>
      </c>
      <c r="G46" s="5">
        <v>77</v>
      </c>
      <c r="H46" s="5">
        <v>87</v>
      </c>
      <c r="I46" s="8" t="s">
        <v>338</v>
      </c>
      <c r="J46" s="13" t="s">
        <v>339</v>
      </c>
      <c r="K46" s="8" t="s">
        <v>303</v>
      </c>
      <c r="L46" s="5" t="s">
        <v>38</v>
      </c>
      <c r="M46" s="8" t="s">
        <v>340</v>
      </c>
      <c r="N46" s="8" t="s">
        <v>256</v>
      </c>
      <c r="O46" s="8" t="s">
        <v>57</v>
      </c>
      <c r="P46" s="5">
        <v>3</v>
      </c>
      <c r="Q46" s="5"/>
      <c r="R46" s="5" t="s">
        <v>174</v>
      </c>
      <c r="S46" s="5"/>
      <c r="T46" s="5">
        <v>4</v>
      </c>
      <c r="U46" s="5">
        <v>4</v>
      </c>
      <c r="V46" s="5">
        <v>3</v>
      </c>
      <c r="W46" s="5">
        <v>2</v>
      </c>
      <c r="X46" s="16">
        <f>Lit_rev_final[[#This Row],[Foundationality_1_5]]*0.35+Lit_rev_final[[#This Row],[Topic_Fit_1_5]]*0.35+Lit_rev_final[[#This Row],[Outlet_Quality_1_5]]*0.2+(0.1*Lit_rev_final[[#This Row],[Bridge_Value_0_3]]/3*5)</f>
        <v>3.7333333333333334</v>
      </c>
      <c r="Y46" s="10" t="s">
        <v>341</v>
      </c>
      <c r="Z46" s="5" t="s">
        <v>156</v>
      </c>
      <c r="AA46" s="5" t="s">
        <v>46</v>
      </c>
      <c r="AB46" s="5" t="s">
        <v>46</v>
      </c>
      <c r="AC46" s="5" t="s">
        <v>46</v>
      </c>
      <c r="AJ46" s="2"/>
    </row>
    <row r="47" spans="1:36" ht="30" hidden="1" customHeight="1" x14ac:dyDescent="0.15">
      <c r="A47" s="7" t="s">
        <v>30</v>
      </c>
      <c r="B47" s="8" t="s">
        <v>342</v>
      </c>
      <c r="C47" s="8" t="s">
        <v>343</v>
      </c>
      <c r="D47" s="8" t="s">
        <v>337</v>
      </c>
      <c r="E47" s="8"/>
      <c r="F47" s="5">
        <v>2016</v>
      </c>
      <c r="G47" s="5">
        <v>552</v>
      </c>
      <c r="H47" s="5">
        <v>559</v>
      </c>
      <c r="I47" s="8" t="s">
        <v>344</v>
      </c>
      <c r="J47" s="13" t="s">
        <v>345</v>
      </c>
      <c r="K47" s="8" t="s">
        <v>303</v>
      </c>
      <c r="L47" s="5" t="s">
        <v>38</v>
      </c>
      <c r="M47" s="8" t="s">
        <v>340</v>
      </c>
      <c r="N47" s="8" t="s">
        <v>256</v>
      </c>
      <c r="O47" s="8" t="s">
        <v>57</v>
      </c>
      <c r="P47" s="5">
        <v>3</v>
      </c>
      <c r="Q47" s="5"/>
      <c r="R47" s="5" t="s">
        <v>174</v>
      </c>
      <c r="S47" s="5"/>
      <c r="T47" s="5">
        <v>4</v>
      </c>
      <c r="U47" s="5">
        <v>4</v>
      </c>
      <c r="V47" s="5">
        <v>3</v>
      </c>
      <c r="W47" s="5">
        <v>2</v>
      </c>
      <c r="X47" s="16">
        <f>Lit_rev_final[[#This Row],[Foundationality_1_5]]*0.35+Lit_rev_final[[#This Row],[Topic_Fit_1_5]]*0.35+Lit_rev_final[[#This Row],[Outlet_Quality_1_5]]*0.2+(0.1*Lit_rev_final[[#This Row],[Bridge_Value_0_3]]/3*5)</f>
        <v>3.7333333333333334</v>
      </c>
      <c r="Y47" s="10" t="s">
        <v>341</v>
      </c>
      <c r="Z47" s="5" t="s">
        <v>156</v>
      </c>
      <c r="AA47" s="5" t="s">
        <v>46</v>
      </c>
      <c r="AB47" s="5" t="s">
        <v>46</v>
      </c>
      <c r="AC47" s="5" t="s">
        <v>46</v>
      </c>
      <c r="AJ47" s="2"/>
    </row>
    <row r="48" spans="1:36" ht="30" customHeight="1" x14ac:dyDescent="0.15">
      <c r="A48" s="7" t="s">
        <v>30</v>
      </c>
      <c r="B48" s="8" t="s">
        <v>346</v>
      </c>
      <c r="C48" s="8" t="s">
        <v>347</v>
      </c>
      <c r="D48" s="8" t="s">
        <v>348</v>
      </c>
      <c r="E48" s="8" t="s">
        <v>253</v>
      </c>
      <c r="F48" s="5">
        <v>2025</v>
      </c>
      <c r="G48" s="5">
        <v>2854</v>
      </c>
      <c r="H48" s="5">
        <v>2873</v>
      </c>
      <c r="I48" s="8" t="s">
        <v>349</v>
      </c>
      <c r="J48" s="13" t="s">
        <v>350</v>
      </c>
      <c r="K48" s="8" t="s">
        <v>232</v>
      </c>
      <c r="L48" s="5" t="s">
        <v>233</v>
      </c>
      <c r="M48" s="8" t="s">
        <v>234</v>
      </c>
      <c r="N48" s="8" t="s">
        <v>256</v>
      </c>
      <c r="O48" s="8" t="s">
        <v>120</v>
      </c>
      <c r="P48" s="5">
        <v>2</v>
      </c>
      <c r="Q48" s="5" t="s">
        <v>351</v>
      </c>
      <c r="R48" s="5" t="s">
        <v>174</v>
      </c>
      <c r="S48" s="5" t="s">
        <v>69</v>
      </c>
      <c r="T48" s="5">
        <v>3</v>
      </c>
      <c r="U48" s="5">
        <v>5</v>
      </c>
      <c r="V48" s="5">
        <v>2</v>
      </c>
      <c r="W48" s="5">
        <v>3</v>
      </c>
      <c r="X48" s="16">
        <f>Lit_rev_final[[#This Row],[Foundationality_1_5]]*0.35+Lit_rev_final[[#This Row],[Topic_Fit_1_5]]*0.35+Lit_rev_final[[#This Row],[Outlet_Quality_1_5]]*0.2+(0.1*Lit_rev_final[[#This Row],[Bridge_Value_0_3]]/3*5)</f>
        <v>3.6999999999999997</v>
      </c>
      <c r="Y48" s="10" t="s">
        <v>352</v>
      </c>
      <c r="Z48" s="14" t="s">
        <v>30</v>
      </c>
      <c r="AA48" s="14" t="s">
        <v>71</v>
      </c>
      <c r="AB48" s="15" t="s">
        <v>72</v>
      </c>
      <c r="AC48" s="16" t="s">
        <v>353</v>
      </c>
      <c r="AJ48" s="2"/>
    </row>
    <row r="49" spans="1:36" ht="30" customHeight="1" x14ac:dyDescent="0.15">
      <c r="A49" s="7" t="s">
        <v>30</v>
      </c>
      <c r="B49" s="8" t="s">
        <v>354</v>
      </c>
      <c r="C49" s="8" t="s">
        <v>355</v>
      </c>
      <c r="D49" s="8" t="s">
        <v>356</v>
      </c>
      <c r="E49" s="8" t="s">
        <v>357</v>
      </c>
      <c r="F49" s="5">
        <v>2024</v>
      </c>
      <c r="G49" s="5"/>
      <c r="H49" s="5"/>
      <c r="I49" s="8" t="s">
        <v>358</v>
      </c>
      <c r="J49" s="13" t="s">
        <v>359</v>
      </c>
      <c r="K49" s="8" t="s">
        <v>232</v>
      </c>
      <c r="L49" s="5" t="s">
        <v>233</v>
      </c>
      <c r="M49" s="8" t="s">
        <v>234</v>
      </c>
      <c r="N49" s="8" t="s">
        <v>256</v>
      </c>
      <c r="O49" s="8" t="s">
        <v>120</v>
      </c>
      <c r="P49" s="5">
        <v>2</v>
      </c>
      <c r="Q49" s="5" t="s">
        <v>67</v>
      </c>
      <c r="R49" s="5" t="s">
        <v>174</v>
      </c>
      <c r="S49" s="5" t="s">
        <v>69</v>
      </c>
      <c r="T49" s="5">
        <v>4</v>
      </c>
      <c r="U49" s="5">
        <v>4</v>
      </c>
      <c r="V49" s="5">
        <v>4</v>
      </c>
      <c r="W49" s="5">
        <v>0</v>
      </c>
      <c r="X49" s="16">
        <f>Lit_rev_final[[#This Row],[Foundationality_1_5]]*0.35+Lit_rev_final[[#This Row],[Topic_Fit_1_5]]*0.35+Lit_rev_final[[#This Row],[Outlet_Quality_1_5]]*0.2+(0.1*Lit_rev_final[[#This Row],[Bridge_Value_0_3]]/3*5)</f>
        <v>3.5999999999999996</v>
      </c>
      <c r="Y49" s="10" t="s">
        <v>360</v>
      </c>
      <c r="Z49" s="14" t="s">
        <v>30</v>
      </c>
      <c r="AA49" s="14" t="s">
        <v>71</v>
      </c>
      <c r="AB49" s="15" t="s">
        <v>72</v>
      </c>
      <c r="AC49" s="16" t="s">
        <v>361</v>
      </c>
      <c r="AJ49" s="2"/>
    </row>
    <row r="50" spans="1:36" ht="30" customHeight="1" x14ac:dyDescent="0.15">
      <c r="A50" s="7" t="s">
        <v>30</v>
      </c>
      <c r="B50" s="8" t="s">
        <v>362</v>
      </c>
      <c r="C50" s="8" t="s">
        <v>363</v>
      </c>
      <c r="D50" s="8" t="s">
        <v>364</v>
      </c>
      <c r="E50" s="8" t="s">
        <v>365</v>
      </c>
      <c r="F50" s="5">
        <v>2025</v>
      </c>
      <c r="G50" s="5"/>
      <c r="H50" s="5"/>
      <c r="I50" s="8"/>
      <c r="J50" s="13" t="s">
        <v>366</v>
      </c>
      <c r="K50" s="8" t="s">
        <v>303</v>
      </c>
      <c r="L50" s="5" t="s">
        <v>233</v>
      </c>
      <c r="M50" s="8" t="s">
        <v>367</v>
      </c>
      <c r="N50" s="8" t="s">
        <v>256</v>
      </c>
      <c r="O50" s="8" t="s">
        <v>120</v>
      </c>
      <c r="P50" s="5">
        <v>2</v>
      </c>
      <c r="Q50" s="5"/>
      <c r="R50" s="5" t="s">
        <v>113</v>
      </c>
      <c r="S50" s="5"/>
      <c r="T50" s="5">
        <v>3</v>
      </c>
      <c r="U50" s="5">
        <v>5</v>
      </c>
      <c r="V50" s="5">
        <v>2</v>
      </c>
      <c r="W50" s="5">
        <v>2</v>
      </c>
      <c r="X50" s="16">
        <f>Lit_rev_final[[#This Row],[Foundationality_1_5]]*0.35+Lit_rev_final[[#This Row],[Topic_Fit_1_5]]*0.35+Lit_rev_final[[#This Row],[Outlet_Quality_1_5]]*0.2+(0.1*Lit_rev_final[[#This Row],[Bridge_Value_0_3]]/3*5)</f>
        <v>3.5333333333333332</v>
      </c>
      <c r="Y50" s="10" t="s">
        <v>352</v>
      </c>
      <c r="Z50" s="14" t="s">
        <v>30</v>
      </c>
      <c r="AA50" s="14" t="s">
        <v>368</v>
      </c>
      <c r="AB50" s="15" t="s">
        <v>369</v>
      </c>
      <c r="AC50" s="16" t="s">
        <v>370</v>
      </c>
      <c r="AJ50" s="2"/>
    </row>
    <row r="51" spans="1:36" ht="30" customHeight="1" x14ac:dyDescent="0.15">
      <c r="A51" s="5" t="s">
        <v>156</v>
      </c>
      <c r="B51" s="8" t="s">
        <v>371</v>
      </c>
      <c r="C51" s="8" t="s">
        <v>372</v>
      </c>
      <c r="D51" s="8" t="s">
        <v>373</v>
      </c>
      <c r="E51" s="8" t="s">
        <v>374</v>
      </c>
      <c r="F51" s="5">
        <v>2025</v>
      </c>
      <c r="G51" s="5"/>
      <c r="H51" s="5"/>
      <c r="I51" s="8" t="s">
        <v>375</v>
      </c>
      <c r="J51" s="13" t="s">
        <v>376</v>
      </c>
      <c r="K51" s="8" t="s">
        <v>377</v>
      </c>
      <c r="L51" s="5" t="s">
        <v>233</v>
      </c>
      <c r="M51" s="8" t="s">
        <v>46</v>
      </c>
      <c r="N51" s="8" t="s">
        <v>256</v>
      </c>
      <c r="O51" s="8" t="s">
        <v>120</v>
      </c>
      <c r="P51" s="5">
        <v>3</v>
      </c>
      <c r="Q51" s="5"/>
      <c r="R51" s="5"/>
      <c r="S51" s="5"/>
      <c r="T51" s="5">
        <v>3</v>
      </c>
      <c r="U51" s="5">
        <v>5</v>
      </c>
      <c r="V51" s="5">
        <v>2</v>
      </c>
      <c r="W51" s="5">
        <v>2</v>
      </c>
      <c r="X51" s="16">
        <f>Lit_rev_final[[#This Row],[Foundationality_1_5]]*0.35+Lit_rev_final[[#This Row],[Topic_Fit_1_5]]*0.35+Lit_rev_final[[#This Row],[Outlet_Quality_1_5]]*0.2+(0.1*Lit_rev_final[[#This Row],[Bridge_Value_0_3]]/3*5)</f>
        <v>3.5333333333333332</v>
      </c>
      <c r="Y51" s="10" t="s">
        <v>352</v>
      </c>
      <c r="Z51" s="5" t="s">
        <v>156</v>
      </c>
      <c r="AA51" s="5" t="s">
        <v>46</v>
      </c>
      <c r="AB51" s="5" t="s">
        <v>46</v>
      </c>
      <c r="AC51" s="16" t="s">
        <v>378</v>
      </c>
      <c r="AJ51" s="2"/>
    </row>
    <row r="52" spans="1:36" ht="30" customHeight="1" x14ac:dyDescent="0.15">
      <c r="A52" s="5" t="s">
        <v>156</v>
      </c>
      <c r="B52" s="8" t="s">
        <v>379</v>
      </c>
      <c r="C52" s="8" t="s">
        <v>380</v>
      </c>
      <c r="D52" s="8" t="s">
        <v>381</v>
      </c>
      <c r="E52" s="8" t="s">
        <v>382</v>
      </c>
      <c r="F52" s="5">
        <v>2023</v>
      </c>
      <c r="G52" s="5"/>
      <c r="H52" s="5"/>
      <c r="I52" s="8" t="s">
        <v>383</v>
      </c>
      <c r="J52" s="13" t="s">
        <v>384</v>
      </c>
      <c r="K52" s="8" t="s">
        <v>303</v>
      </c>
      <c r="L52" s="5" t="s">
        <v>233</v>
      </c>
      <c r="M52" s="8" t="s">
        <v>367</v>
      </c>
      <c r="N52" s="8" t="s">
        <v>256</v>
      </c>
      <c r="O52" s="8" t="s">
        <v>120</v>
      </c>
      <c r="P52" s="5">
        <v>3</v>
      </c>
      <c r="Q52" s="5"/>
      <c r="R52" s="5"/>
      <c r="S52" s="5"/>
      <c r="T52" s="5">
        <v>3</v>
      </c>
      <c r="U52" s="5">
        <v>5</v>
      </c>
      <c r="V52" s="5">
        <v>2</v>
      </c>
      <c r="W52" s="5">
        <v>2</v>
      </c>
      <c r="X52" s="16">
        <f>Lit_rev_final[[#This Row],[Foundationality_1_5]]*0.35+Lit_rev_final[[#This Row],[Topic_Fit_1_5]]*0.35+Lit_rev_final[[#This Row],[Outlet_Quality_1_5]]*0.2+(0.1*Lit_rev_final[[#This Row],[Bridge_Value_0_3]]/3*5)</f>
        <v>3.5333333333333332</v>
      </c>
      <c r="Y52" s="10" t="s">
        <v>236</v>
      </c>
      <c r="Z52" s="5" t="s">
        <v>156</v>
      </c>
      <c r="AA52" s="5" t="s">
        <v>46</v>
      </c>
      <c r="AB52" s="5" t="s">
        <v>46</v>
      </c>
      <c r="AC52" s="16" t="s">
        <v>385</v>
      </c>
      <c r="AJ52" s="2"/>
    </row>
    <row r="53" spans="1:36" ht="30" customHeight="1" x14ac:dyDescent="0.15">
      <c r="A53" s="5" t="s">
        <v>156</v>
      </c>
      <c r="B53" s="8" t="s">
        <v>386</v>
      </c>
      <c r="C53" s="8" t="s">
        <v>387</v>
      </c>
      <c r="D53" s="8" t="s">
        <v>388</v>
      </c>
      <c r="E53" s="8" t="s">
        <v>389</v>
      </c>
      <c r="F53" s="5">
        <v>2024</v>
      </c>
      <c r="G53" s="5">
        <v>307</v>
      </c>
      <c r="H53" s="5">
        <v>323</v>
      </c>
      <c r="I53" s="8" t="s">
        <v>390</v>
      </c>
      <c r="J53" s="13" t="s">
        <v>391</v>
      </c>
      <c r="K53" s="8" t="s">
        <v>232</v>
      </c>
      <c r="L53" s="5" t="s">
        <v>233</v>
      </c>
      <c r="M53" s="8" t="s">
        <v>392</v>
      </c>
      <c r="N53" s="8" t="s">
        <v>256</v>
      </c>
      <c r="O53" s="8" t="s">
        <v>57</v>
      </c>
      <c r="P53" s="5">
        <v>3</v>
      </c>
      <c r="Q53" s="5"/>
      <c r="R53" s="5"/>
      <c r="S53" s="5"/>
      <c r="T53" s="5">
        <v>3</v>
      </c>
      <c r="U53" s="5">
        <v>5</v>
      </c>
      <c r="V53" s="5">
        <v>2</v>
      </c>
      <c r="W53" s="5">
        <v>2</v>
      </c>
      <c r="X53" s="16">
        <f>Lit_rev_final[[#This Row],[Foundationality_1_5]]*0.35+Lit_rev_final[[#This Row],[Topic_Fit_1_5]]*0.35+Lit_rev_final[[#This Row],[Outlet_Quality_1_5]]*0.2+(0.1*Lit_rev_final[[#This Row],[Bridge_Value_0_3]]/3*5)</f>
        <v>3.5333333333333332</v>
      </c>
      <c r="Y53" s="10" t="s">
        <v>352</v>
      </c>
      <c r="Z53" s="5" t="s">
        <v>156</v>
      </c>
      <c r="AA53" s="5" t="s">
        <v>46</v>
      </c>
      <c r="AB53" s="5" t="s">
        <v>46</v>
      </c>
      <c r="AC53" s="16" t="s">
        <v>393</v>
      </c>
      <c r="AJ53" s="2"/>
    </row>
    <row r="54" spans="1:36" ht="30" customHeight="1" x14ac:dyDescent="0.15">
      <c r="A54" s="5" t="s">
        <v>156</v>
      </c>
      <c r="B54" s="8" t="s">
        <v>394</v>
      </c>
      <c r="C54" s="8" t="s">
        <v>395</v>
      </c>
      <c r="D54" s="8" t="s">
        <v>396</v>
      </c>
      <c r="E54" s="8" t="s">
        <v>382</v>
      </c>
      <c r="F54" s="5">
        <v>2025</v>
      </c>
      <c r="G54" s="5"/>
      <c r="H54" s="5"/>
      <c r="I54" s="8" t="s">
        <v>397</v>
      </c>
      <c r="J54" s="13" t="s">
        <v>398</v>
      </c>
      <c r="K54" s="8" t="s">
        <v>303</v>
      </c>
      <c r="L54" s="5" t="s">
        <v>233</v>
      </c>
      <c r="M54" s="8" t="s">
        <v>367</v>
      </c>
      <c r="N54" s="8" t="s">
        <v>256</v>
      </c>
      <c r="O54" s="8" t="s">
        <v>120</v>
      </c>
      <c r="P54" s="5">
        <v>3</v>
      </c>
      <c r="Q54" s="5"/>
      <c r="R54" s="5"/>
      <c r="S54" s="5"/>
      <c r="T54" s="5">
        <v>3</v>
      </c>
      <c r="U54" s="5">
        <v>5</v>
      </c>
      <c r="V54" s="5">
        <v>2</v>
      </c>
      <c r="W54" s="5">
        <v>2</v>
      </c>
      <c r="X54" s="16">
        <f>Lit_rev_final[[#This Row],[Foundationality_1_5]]*0.35+Lit_rev_final[[#This Row],[Topic_Fit_1_5]]*0.35+Lit_rev_final[[#This Row],[Outlet_Quality_1_5]]*0.2+(0.1*Lit_rev_final[[#This Row],[Bridge_Value_0_3]]/3*5)</f>
        <v>3.5333333333333332</v>
      </c>
      <c r="Y54" s="10" t="s">
        <v>399</v>
      </c>
      <c r="Z54" s="5" t="s">
        <v>156</v>
      </c>
      <c r="AA54" s="5" t="s">
        <v>46</v>
      </c>
      <c r="AB54" s="5" t="s">
        <v>46</v>
      </c>
      <c r="AC54" s="16" t="s">
        <v>400</v>
      </c>
      <c r="AJ54" s="2"/>
    </row>
    <row r="55" spans="1:36" ht="30" customHeight="1" x14ac:dyDescent="0.15">
      <c r="A55" s="5" t="s">
        <v>156</v>
      </c>
      <c r="B55" s="8" t="s">
        <v>401</v>
      </c>
      <c r="C55" s="8" t="s">
        <v>402</v>
      </c>
      <c r="D55" s="8" t="s">
        <v>403</v>
      </c>
      <c r="E55" s="8" t="s">
        <v>404</v>
      </c>
      <c r="F55" s="5">
        <v>2025</v>
      </c>
      <c r="G55" s="5"/>
      <c r="H55" s="5"/>
      <c r="I55" s="8" t="s">
        <v>405</v>
      </c>
      <c r="J55" s="13" t="s">
        <v>406</v>
      </c>
      <c r="K55" s="8" t="s">
        <v>303</v>
      </c>
      <c r="L55" s="5" t="s">
        <v>233</v>
      </c>
      <c r="M55" s="8" t="s">
        <v>367</v>
      </c>
      <c r="N55" s="8" t="s">
        <v>256</v>
      </c>
      <c r="O55" s="8" t="s">
        <v>120</v>
      </c>
      <c r="P55" s="5">
        <v>3</v>
      </c>
      <c r="Q55" s="5"/>
      <c r="R55" s="5"/>
      <c r="S55" s="5"/>
      <c r="T55" s="5">
        <v>3</v>
      </c>
      <c r="U55" s="5">
        <v>5</v>
      </c>
      <c r="V55" s="5">
        <v>2</v>
      </c>
      <c r="W55" s="5">
        <v>2</v>
      </c>
      <c r="X55" s="16">
        <f>Lit_rev_final[[#This Row],[Foundationality_1_5]]*0.35+Lit_rev_final[[#This Row],[Topic_Fit_1_5]]*0.35+Lit_rev_final[[#This Row],[Outlet_Quality_1_5]]*0.2+(0.1*Lit_rev_final[[#This Row],[Bridge_Value_0_3]]/3*5)</f>
        <v>3.5333333333333332</v>
      </c>
      <c r="Y55" s="10" t="s">
        <v>236</v>
      </c>
      <c r="Z55" s="5" t="s">
        <v>156</v>
      </c>
      <c r="AA55" s="5" t="s">
        <v>46</v>
      </c>
      <c r="AB55" s="5" t="s">
        <v>46</v>
      </c>
      <c r="AC55" s="16" t="s">
        <v>407</v>
      </c>
      <c r="AJ55" s="2"/>
    </row>
    <row r="56" spans="1:36" ht="30" customHeight="1" x14ac:dyDescent="0.15">
      <c r="A56" s="5" t="s">
        <v>156</v>
      </c>
      <c r="B56" s="8" t="s">
        <v>408</v>
      </c>
      <c r="C56" s="8" t="s">
        <v>409</v>
      </c>
      <c r="D56" s="8" t="s">
        <v>410</v>
      </c>
      <c r="E56" s="8" t="s">
        <v>411</v>
      </c>
      <c r="F56" s="5">
        <v>2026</v>
      </c>
      <c r="G56" s="5"/>
      <c r="H56" s="5"/>
      <c r="I56" s="8" t="s">
        <v>412</v>
      </c>
      <c r="J56" s="13" t="s">
        <v>413</v>
      </c>
      <c r="K56" s="8" t="s">
        <v>303</v>
      </c>
      <c r="L56" s="5" t="s">
        <v>233</v>
      </c>
      <c r="M56" s="8" t="s">
        <v>367</v>
      </c>
      <c r="N56" s="8" t="s">
        <v>256</v>
      </c>
      <c r="O56" s="8" t="s">
        <v>120</v>
      </c>
      <c r="P56" s="5">
        <v>3</v>
      </c>
      <c r="Q56" s="5"/>
      <c r="R56" s="5"/>
      <c r="S56" s="5"/>
      <c r="T56" s="5">
        <v>3</v>
      </c>
      <c r="U56" s="5">
        <v>5</v>
      </c>
      <c r="V56" s="5">
        <v>2</v>
      </c>
      <c r="W56" s="5">
        <v>2</v>
      </c>
      <c r="X56" s="16">
        <f>Lit_rev_final[[#This Row],[Foundationality_1_5]]*0.35+Lit_rev_final[[#This Row],[Topic_Fit_1_5]]*0.35+Lit_rev_final[[#This Row],[Outlet_Quality_1_5]]*0.2+(0.1*Lit_rev_final[[#This Row],[Bridge_Value_0_3]]/3*5)</f>
        <v>3.5333333333333332</v>
      </c>
      <c r="Y56" s="10" t="s">
        <v>236</v>
      </c>
      <c r="Z56" s="5" t="s">
        <v>156</v>
      </c>
      <c r="AA56" s="5" t="s">
        <v>46</v>
      </c>
      <c r="AB56" s="5" t="s">
        <v>46</v>
      </c>
      <c r="AC56" s="16" t="s">
        <v>414</v>
      </c>
      <c r="AJ56" s="2"/>
    </row>
    <row r="57" spans="1:36" ht="30" customHeight="1" x14ac:dyDescent="0.15">
      <c r="A57" s="5" t="s">
        <v>156</v>
      </c>
      <c r="B57" s="8" t="s">
        <v>415</v>
      </c>
      <c r="C57" s="8" t="s">
        <v>416</v>
      </c>
      <c r="D57" s="8" t="s">
        <v>417</v>
      </c>
      <c r="E57" s="8" t="s">
        <v>374</v>
      </c>
      <c r="F57" s="5">
        <v>2025</v>
      </c>
      <c r="G57" s="5"/>
      <c r="H57" s="5"/>
      <c r="I57" s="8" t="s">
        <v>418</v>
      </c>
      <c r="J57" s="13" t="s">
        <v>419</v>
      </c>
      <c r="K57" s="8" t="s">
        <v>232</v>
      </c>
      <c r="L57" s="5" t="s">
        <v>233</v>
      </c>
      <c r="M57" s="8" t="s">
        <v>392</v>
      </c>
      <c r="N57" s="8" t="s">
        <v>256</v>
      </c>
      <c r="O57" s="8" t="s">
        <v>120</v>
      </c>
      <c r="P57" s="5">
        <v>3</v>
      </c>
      <c r="Q57" s="5"/>
      <c r="R57" s="5"/>
      <c r="S57" s="5"/>
      <c r="T57" s="5">
        <v>3</v>
      </c>
      <c r="U57" s="5">
        <v>5</v>
      </c>
      <c r="V57" s="5">
        <v>2</v>
      </c>
      <c r="W57" s="5">
        <v>2</v>
      </c>
      <c r="X57" s="16">
        <f>Lit_rev_final[[#This Row],[Foundationality_1_5]]*0.35+Lit_rev_final[[#This Row],[Topic_Fit_1_5]]*0.35+Lit_rev_final[[#This Row],[Outlet_Quality_1_5]]*0.2+(0.1*Lit_rev_final[[#This Row],[Bridge_Value_0_3]]/3*5)</f>
        <v>3.5333333333333332</v>
      </c>
      <c r="Y57" s="10" t="s">
        <v>236</v>
      </c>
      <c r="Z57" s="5" t="s">
        <v>156</v>
      </c>
      <c r="AA57" s="5" t="s">
        <v>46</v>
      </c>
      <c r="AB57" s="5" t="s">
        <v>46</v>
      </c>
      <c r="AC57" s="16" t="s">
        <v>420</v>
      </c>
      <c r="AJ57" s="2"/>
    </row>
    <row r="58" spans="1:36" ht="30" customHeight="1" x14ac:dyDescent="0.15">
      <c r="A58" s="5" t="s">
        <v>156</v>
      </c>
      <c r="B58" s="8" t="s">
        <v>421</v>
      </c>
      <c r="C58" s="8" t="s">
        <v>422</v>
      </c>
      <c r="D58" s="8" t="s">
        <v>423</v>
      </c>
      <c r="E58" s="8" t="s">
        <v>382</v>
      </c>
      <c r="F58" s="5">
        <v>2023</v>
      </c>
      <c r="G58" s="5"/>
      <c r="H58" s="5"/>
      <c r="I58" s="8" t="s">
        <v>424</v>
      </c>
      <c r="J58" s="13" t="s">
        <v>425</v>
      </c>
      <c r="K58" s="8" t="s">
        <v>303</v>
      </c>
      <c r="L58" s="5" t="s">
        <v>233</v>
      </c>
      <c r="M58" s="8" t="s">
        <v>367</v>
      </c>
      <c r="N58" s="8" t="s">
        <v>256</v>
      </c>
      <c r="O58" s="8" t="s">
        <v>120</v>
      </c>
      <c r="P58" s="5">
        <v>3</v>
      </c>
      <c r="Q58" s="5"/>
      <c r="R58" s="5"/>
      <c r="S58" s="5"/>
      <c r="T58" s="5">
        <v>3</v>
      </c>
      <c r="U58" s="5">
        <v>5</v>
      </c>
      <c r="V58" s="5">
        <v>2</v>
      </c>
      <c r="W58" s="5">
        <v>2</v>
      </c>
      <c r="X58" s="16">
        <f>Lit_rev_final[[#This Row],[Foundationality_1_5]]*0.35+Lit_rev_final[[#This Row],[Topic_Fit_1_5]]*0.35+Lit_rev_final[[#This Row],[Outlet_Quality_1_5]]*0.2+(0.1*Lit_rev_final[[#This Row],[Bridge_Value_0_3]]/3*5)</f>
        <v>3.5333333333333332</v>
      </c>
      <c r="Y58" s="10" t="s">
        <v>360</v>
      </c>
      <c r="Z58" s="5" t="s">
        <v>156</v>
      </c>
      <c r="AA58" s="5" t="s">
        <v>46</v>
      </c>
      <c r="AB58" s="5" t="s">
        <v>46</v>
      </c>
      <c r="AC58" s="16" t="s">
        <v>426</v>
      </c>
      <c r="AJ58" s="2"/>
    </row>
    <row r="59" spans="1:36" ht="30" customHeight="1" x14ac:dyDescent="0.15">
      <c r="A59" s="5" t="s">
        <v>156</v>
      </c>
      <c r="B59" s="8" t="s">
        <v>427</v>
      </c>
      <c r="C59" s="8" t="s">
        <v>428</v>
      </c>
      <c r="D59" s="8" t="s">
        <v>429</v>
      </c>
      <c r="E59" s="8" t="s">
        <v>430</v>
      </c>
      <c r="F59" s="5">
        <v>2024</v>
      </c>
      <c r="G59" s="5">
        <v>831</v>
      </c>
      <c r="H59" s="5">
        <v>836</v>
      </c>
      <c r="I59" s="8" t="s">
        <v>431</v>
      </c>
      <c r="J59" s="13" t="s">
        <v>432</v>
      </c>
      <c r="K59" s="8" t="s">
        <v>232</v>
      </c>
      <c r="L59" s="5" t="s">
        <v>233</v>
      </c>
      <c r="M59" s="8" t="s">
        <v>392</v>
      </c>
      <c r="N59" s="8" t="s">
        <v>256</v>
      </c>
      <c r="O59" s="8" t="s">
        <v>120</v>
      </c>
      <c r="P59" s="5">
        <v>3</v>
      </c>
      <c r="Q59" s="5"/>
      <c r="R59" s="5"/>
      <c r="S59" s="5"/>
      <c r="T59" s="5">
        <v>3</v>
      </c>
      <c r="U59" s="5">
        <v>5</v>
      </c>
      <c r="V59" s="5">
        <v>2</v>
      </c>
      <c r="W59" s="5">
        <v>2</v>
      </c>
      <c r="X59" s="16">
        <f>Lit_rev_final[[#This Row],[Foundationality_1_5]]*0.35+Lit_rev_final[[#This Row],[Topic_Fit_1_5]]*0.35+Lit_rev_final[[#This Row],[Outlet_Quality_1_5]]*0.2+(0.1*Lit_rev_final[[#This Row],[Bridge_Value_0_3]]/3*5)</f>
        <v>3.5333333333333332</v>
      </c>
      <c r="Y59" s="10" t="s">
        <v>236</v>
      </c>
      <c r="Z59" s="5" t="s">
        <v>156</v>
      </c>
      <c r="AA59" s="5" t="s">
        <v>46</v>
      </c>
      <c r="AB59" s="5" t="s">
        <v>46</v>
      </c>
      <c r="AC59" s="16" t="s">
        <v>433</v>
      </c>
      <c r="AJ59" s="2"/>
    </row>
    <row r="60" spans="1:36" ht="30" customHeight="1" x14ac:dyDescent="0.15">
      <c r="A60" s="5" t="s">
        <v>156</v>
      </c>
      <c r="B60" s="8" t="s">
        <v>434</v>
      </c>
      <c r="C60" s="8" t="s">
        <v>435</v>
      </c>
      <c r="D60" s="8" t="s">
        <v>436</v>
      </c>
      <c r="E60" s="8" t="s">
        <v>331</v>
      </c>
      <c r="F60" s="5">
        <v>2025</v>
      </c>
      <c r="G60" s="5">
        <v>643</v>
      </c>
      <c r="H60" s="5">
        <v>648</v>
      </c>
      <c r="I60" s="8" t="s">
        <v>437</v>
      </c>
      <c r="J60" s="13" t="s">
        <v>438</v>
      </c>
      <c r="K60" s="8" t="s">
        <v>232</v>
      </c>
      <c r="L60" s="5" t="s">
        <v>233</v>
      </c>
      <c r="M60" s="8" t="s">
        <v>392</v>
      </c>
      <c r="N60" s="8" t="s">
        <v>256</v>
      </c>
      <c r="O60" s="8" t="s">
        <v>120</v>
      </c>
      <c r="P60" s="5">
        <v>3</v>
      </c>
      <c r="Q60" s="5"/>
      <c r="R60" s="5"/>
      <c r="S60" s="5"/>
      <c r="T60" s="5">
        <v>3</v>
      </c>
      <c r="U60" s="5">
        <v>5</v>
      </c>
      <c r="V60" s="5">
        <v>2</v>
      </c>
      <c r="W60" s="5">
        <v>2</v>
      </c>
      <c r="X60" s="16">
        <f>Lit_rev_final[[#This Row],[Foundationality_1_5]]*0.35+Lit_rev_final[[#This Row],[Topic_Fit_1_5]]*0.35+Lit_rev_final[[#This Row],[Outlet_Quality_1_5]]*0.2+(0.1*Lit_rev_final[[#This Row],[Bridge_Value_0_3]]/3*5)</f>
        <v>3.5333333333333332</v>
      </c>
      <c r="Y60" s="10" t="s">
        <v>439</v>
      </c>
      <c r="Z60" s="5" t="s">
        <v>156</v>
      </c>
      <c r="AA60" s="5" t="s">
        <v>46</v>
      </c>
      <c r="AB60" s="5" t="s">
        <v>46</v>
      </c>
      <c r="AC60" s="16" t="s">
        <v>440</v>
      </c>
      <c r="AJ60" s="2"/>
    </row>
    <row r="61" spans="1:36" ht="30" customHeight="1" x14ac:dyDescent="0.15">
      <c r="A61" s="5" t="s">
        <v>156</v>
      </c>
      <c r="B61" s="8" t="s">
        <v>441</v>
      </c>
      <c r="C61" s="8" t="s">
        <v>442</v>
      </c>
      <c r="D61" s="8" t="s">
        <v>443</v>
      </c>
      <c r="E61" s="8" t="s">
        <v>152</v>
      </c>
      <c r="F61" s="5">
        <v>2025</v>
      </c>
      <c r="G61" s="5"/>
      <c r="H61" s="5"/>
      <c r="I61" s="8" t="s">
        <v>444</v>
      </c>
      <c r="J61" s="13" t="s">
        <v>445</v>
      </c>
      <c r="K61" s="8" t="s">
        <v>232</v>
      </c>
      <c r="L61" s="5" t="s">
        <v>233</v>
      </c>
      <c r="M61" s="8" t="s">
        <v>234</v>
      </c>
      <c r="N61" s="8" t="s">
        <v>256</v>
      </c>
      <c r="O61" s="8" t="s">
        <v>120</v>
      </c>
      <c r="P61" s="5">
        <v>3</v>
      </c>
      <c r="Q61" s="5"/>
      <c r="R61" s="5"/>
      <c r="S61" s="5"/>
      <c r="T61" s="5">
        <v>3</v>
      </c>
      <c r="U61" s="5">
        <v>5</v>
      </c>
      <c r="V61" s="5">
        <v>2</v>
      </c>
      <c r="W61" s="5">
        <v>2</v>
      </c>
      <c r="X61" s="16">
        <f>Lit_rev_final[[#This Row],[Foundationality_1_5]]*0.35+Lit_rev_final[[#This Row],[Topic_Fit_1_5]]*0.35+Lit_rev_final[[#This Row],[Outlet_Quality_1_5]]*0.2+(0.1*Lit_rev_final[[#This Row],[Bridge_Value_0_3]]/3*5)</f>
        <v>3.5333333333333332</v>
      </c>
      <c r="Y61" s="10" t="s">
        <v>236</v>
      </c>
      <c r="Z61" s="5" t="s">
        <v>156</v>
      </c>
      <c r="AA61" s="5" t="s">
        <v>46</v>
      </c>
      <c r="AB61" s="5" t="s">
        <v>46</v>
      </c>
      <c r="AC61" s="16" t="s">
        <v>446</v>
      </c>
      <c r="AJ61" s="2"/>
    </row>
    <row r="62" spans="1:36" ht="30" hidden="1" customHeight="1" x14ac:dyDescent="0.15">
      <c r="A62" s="7" t="s">
        <v>30</v>
      </c>
      <c r="B62" s="8" t="s">
        <v>447</v>
      </c>
      <c r="C62" s="8" t="s">
        <v>448</v>
      </c>
      <c r="D62" s="8" t="s">
        <v>449</v>
      </c>
      <c r="E62" s="8"/>
      <c r="F62" s="5">
        <v>2021</v>
      </c>
      <c r="G62" s="5">
        <v>3</v>
      </c>
      <c r="H62" s="5">
        <v>9</v>
      </c>
      <c r="I62" s="8" t="s">
        <v>450</v>
      </c>
      <c r="J62" s="13" t="s">
        <v>451</v>
      </c>
      <c r="K62" s="8" t="s">
        <v>303</v>
      </c>
      <c r="L62" s="5" t="s">
        <v>38</v>
      </c>
      <c r="M62" s="8" t="s">
        <v>340</v>
      </c>
      <c r="N62" s="8" t="s">
        <v>256</v>
      </c>
      <c r="O62" s="8" t="s">
        <v>57</v>
      </c>
      <c r="P62" s="5">
        <v>3</v>
      </c>
      <c r="Q62" s="5"/>
      <c r="R62" s="5" t="s">
        <v>174</v>
      </c>
      <c r="S62" s="5"/>
      <c r="T62" s="5">
        <v>4</v>
      </c>
      <c r="U62" s="5">
        <v>4</v>
      </c>
      <c r="V62" s="5">
        <v>2</v>
      </c>
      <c r="W62" s="5">
        <v>2</v>
      </c>
      <c r="X62" s="16">
        <f>Lit_rev_final[[#This Row],[Foundationality_1_5]]*0.35+Lit_rev_final[[#This Row],[Topic_Fit_1_5]]*0.35+Lit_rev_final[[#This Row],[Outlet_Quality_1_5]]*0.2+(0.1*Lit_rev_final[[#This Row],[Bridge_Value_0_3]]/3*5)</f>
        <v>3.5333333333333332</v>
      </c>
      <c r="Y62" s="10" t="s">
        <v>452</v>
      </c>
      <c r="Z62" s="5" t="s">
        <v>156</v>
      </c>
      <c r="AA62" s="5" t="s">
        <v>46</v>
      </c>
      <c r="AB62" s="5" t="s">
        <v>46</v>
      </c>
      <c r="AC62" s="5" t="s">
        <v>46</v>
      </c>
      <c r="AJ62" s="2"/>
    </row>
    <row r="63" spans="1:36" ht="30" customHeight="1" x14ac:dyDescent="0.15">
      <c r="A63" s="5" t="s">
        <v>156</v>
      </c>
      <c r="B63" s="8" t="s">
        <v>453</v>
      </c>
      <c r="C63" s="8" t="s">
        <v>454</v>
      </c>
      <c r="D63" s="8" t="s">
        <v>373</v>
      </c>
      <c r="E63" s="8" t="s">
        <v>374</v>
      </c>
      <c r="F63" s="5">
        <v>2025</v>
      </c>
      <c r="G63" s="5"/>
      <c r="H63" s="5"/>
      <c r="I63" s="8" t="s">
        <v>455</v>
      </c>
      <c r="J63" s="13" t="s">
        <v>456</v>
      </c>
      <c r="K63" s="8" t="s">
        <v>377</v>
      </c>
      <c r="L63" s="5" t="s">
        <v>233</v>
      </c>
      <c r="M63" s="8" t="s">
        <v>46</v>
      </c>
      <c r="N63" s="8" t="s">
        <v>256</v>
      </c>
      <c r="O63" s="8" t="s">
        <v>120</v>
      </c>
      <c r="P63" s="5">
        <v>3</v>
      </c>
      <c r="Q63" s="5"/>
      <c r="R63" s="5"/>
      <c r="S63" s="5"/>
      <c r="T63" s="5">
        <v>3</v>
      </c>
      <c r="U63" s="5">
        <v>5</v>
      </c>
      <c r="V63" s="5">
        <v>2</v>
      </c>
      <c r="W63" s="5">
        <v>2</v>
      </c>
      <c r="X63" s="16">
        <f>Lit_rev_final[[#This Row],[Foundationality_1_5]]*0.35+Lit_rev_final[[#This Row],[Topic_Fit_1_5]]*0.35+Lit_rev_final[[#This Row],[Outlet_Quality_1_5]]*0.2+(0.1*Lit_rev_final[[#This Row],[Bridge_Value_0_3]]/3*5)</f>
        <v>3.5333333333333332</v>
      </c>
      <c r="Y63" s="10" t="s">
        <v>457</v>
      </c>
      <c r="Z63" s="5" t="s">
        <v>156</v>
      </c>
      <c r="AA63" s="5" t="s">
        <v>46</v>
      </c>
      <c r="AB63" s="5" t="s">
        <v>46</v>
      </c>
      <c r="AC63" s="16" t="s">
        <v>458</v>
      </c>
      <c r="AJ63" s="2"/>
    </row>
    <row r="64" spans="1:36" ht="30" customHeight="1" x14ac:dyDescent="0.15">
      <c r="A64" s="5" t="s">
        <v>156</v>
      </c>
      <c r="B64" s="8" t="s">
        <v>459</v>
      </c>
      <c r="C64" s="8" t="s">
        <v>460</v>
      </c>
      <c r="D64" s="8" t="s">
        <v>461</v>
      </c>
      <c r="E64" s="8" t="s">
        <v>382</v>
      </c>
      <c r="F64" s="5">
        <v>2025</v>
      </c>
      <c r="G64" s="5"/>
      <c r="H64" s="5"/>
      <c r="I64" s="8" t="s">
        <v>462</v>
      </c>
      <c r="J64" s="13" t="s">
        <v>463</v>
      </c>
      <c r="K64" s="8" t="s">
        <v>303</v>
      </c>
      <c r="L64" s="5" t="s">
        <v>233</v>
      </c>
      <c r="M64" s="8" t="s">
        <v>367</v>
      </c>
      <c r="N64" s="8" t="s">
        <v>256</v>
      </c>
      <c r="O64" s="8" t="s">
        <v>120</v>
      </c>
      <c r="P64" s="5">
        <v>3</v>
      </c>
      <c r="Q64" s="5"/>
      <c r="R64" s="5"/>
      <c r="S64" s="5"/>
      <c r="T64" s="5">
        <v>3</v>
      </c>
      <c r="U64" s="5">
        <v>5</v>
      </c>
      <c r="V64" s="5">
        <v>2</v>
      </c>
      <c r="W64" s="5">
        <v>2</v>
      </c>
      <c r="X64" s="16">
        <f>Lit_rev_final[[#This Row],[Foundationality_1_5]]*0.35+Lit_rev_final[[#This Row],[Topic_Fit_1_5]]*0.35+Lit_rev_final[[#This Row],[Outlet_Quality_1_5]]*0.2+(0.1*Lit_rev_final[[#This Row],[Bridge_Value_0_3]]/3*5)</f>
        <v>3.5333333333333332</v>
      </c>
      <c r="Y64" s="10" t="s">
        <v>352</v>
      </c>
      <c r="Z64" s="5" t="s">
        <v>156</v>
      </c>
      <c r="AA64" s="5" t="s">
        <v>46</v>
      </c>
      <c r="AB64" s="5" t="s">
        <v>46</v>
      </c>
      <c r="AC64" s="16" t="s">
        <v>464</v>
      </c>
      <c r="AJ64" s="2"/>
    </row>
    <row r="65" spans="1:36" ht="30" customHeight="1" x14ac:dyDescent="0.15">
      <c r="A65" s="5" t="s">
        <v>156</v>
      </c>
      <c r="B65" s="8" t="s">
        <v>465</v>
      </c>
      <c r="C65" s="8" t="s">
        <v>466</v>
      </c>
      <c r="D65" s="8" t="s">
        <v>467</v>
      </c>
      <c r="E65" s="8" t="s">
        <v>382</v>
      </c>
      <c r="F65" s="5">
        <v>2024</v>
      </c>
      <c r="G65" s="5"/>
      <c r="H65" s="5"/>
      <c r="I65" s="8" t="s">
        <v>468</v>
      </c>
      <c r="J65" s="13" t="s">
        <v>469</v>
      </c>
      <c r="K65" s="8" t="s">
        <v>303</v>
      </c>
      <c r="L65" s="5" t="s">
        <v>233</v>
      </c>
      <c r="M65" s="8" t="s">
        <v>367</v>
      </c>
      <c r="N65" s="8" t="s">
        <v>256</v>
      </c>
      <c r="O65" s="8" t="s">
        <v>120</v>
      </c>
      <c r="P65" s="5">
        <v>3</v>
      </c>
      <c r="Q65" s="5"/>
      <c r="R65" s="5"/>
      <c r="S65" s="5"/>
      <c r="T65" s="5">
        <v>3</v>
      </c>
      <c r="U65" s="5">
        <v>5</v>
      </c>
      <c r="V65" s="5">
        <v>2</v>
      </c>
      <c r="W65" s="5">
        <v>2</v>
      </c>
      <c r="X65" s="16">
        <f>Lit_rev_final[[#This Row],[Foundationality_1_5]]*0.35+Lit_rev_final[[#This Row],[Topic_Fit_1_5]]*0.35+Lit_rev_final[[#This Row],[Outlet_Quality_1_5]]*0.2+(0.1*Lit_rev_final[[#This Row],[Bridge_Value_0_3]]/3*5)</f>
        <v>3.5333333333333332</v>
      </c>
      <c r="Y65" s="10" t="s">
        <v>236</v>
      </c>
      <c r="Z65" s="5" t="s">
        <v>156</v>
      </c>
      <c r="AA65" s="5" t="s">
        <v>46</v>
      </c>
      <c r="AB65" s="5" t="s">
        <v>46</v>
      </c>
      <c r="AC65" s="16" t="s">
        <v>470</v>
      </c>
      <c r="AJ65" s="2"/>
    </row>
    <row r="66" spans="1:36" ht="30" customHeight="1" x14ac:dyDescent="0.15">
      <c r="A66" s="5" t="s">
        <v>156</v>
      </c>
      <c r="B66" s="8" t="s">
        <v>471</v>
      </c>
      <c r="C66" s="8" t="s">
        <v>472</v>
      </c>
      <c r="D66" s="8" t="s">
        <v>473</v>
      </c>
      <c r="E66" s="8" t="s">
        <v>474</v>
      </c>
      <c r="F66" s="5">
        <v>2025</v>
      </c>
      <c r="G66" s="5"/>
      <c r="H66" s="5"/>
      <c r="I66" s="8" t="s">
        <v>475</v>
      </c>
      <c r="J66" s="13" t="s">
        <v>476</v>
      </c>
      <c r="K66" s="8" t="s">
        <v>303</v>
      </c>
      <c r="L66" s="5" t="s">
        <v>233</v>
      </c>
      <c r="M66" s="8" t="s">
        <v>367</v>
      </c>
      <c r="N66" s="8" t="s">
        <v>256</v>
      </c>
      <c r="O66" s="8" t="s">
        <v>120</v>
      </c>
      <c r="P66" s="5">
        <v>3</v>
      </c>
      <c r="Q66" s="5"/>
      <c r="R66" s="5"/>
      <c r="S66" s="5"/>
      <c r="T66" s="5">
        <v>3</v>
      </c>
      <c r="U66" s="5">
        <v>5</v>
      </c>
      <c r="V66" s="5">
        <v>2</v>
      </c>
      <c r="W66" s="5">
        <v>2</v>
      </c>
      <c r="X66" s="16">
        <f>Lit_rev_final[[#This Row],[Foundationality_1_5]]*0.35+Lit_rev_final[[#This Row],[Topic_Fit_1_5]]*0.35+Lit_rev_final[[#This Row],[Outlet_Quality_1_5]]*0.2+(0.1*Lit_rev_final[[#This Row],[Bridge_Value_0_3]]/3*5)</f>
        <v>3.5333333333333332</v>
      </c>
      <c r="Y66" s="10" t="s">
        <v>236</v>
      </c>
      <c r="Z66" s="5" t="s">
        <v>156</v>
      </c>
      <c r="AA66" s="5" t="s">
        <v>46</v>
      </c>
      <c r="AB66" s="5" t="s">
        <v>46</v>
      </c>
      <c r="AC66" s="16" t="s">
        <v>477</v>
      </c>
      <c r="AJ66" s="2"/>
    </row>
    <row r="67" spans="1:36" ht="30" customHeight="1" x14ac:dyDescent="0.15">
      <c r="A67" s="5" t="s">
        <v>156</v>
      </c>
      <c r="B67" s="8" t="s">
        <v>478</v>
      </c>
      <c r="C67" s="8" t="s">
        <v>479</v>
      </c>
      <c r="D67" s="8" t="s">
        <v>480</v>
      </c>
      <c r="E67" s="8" t="s">
        <v>382</v>
      </c>
      <c r="F67" s="5">
        <v>2024</v>
      </c>
      <c r="G67" s="5"/>
      <c r="H67" s="5"/>
      <c r="I67" s="8" t="s">
        <v>481</v>
      </c>
      <c r="J67" s="13" t="s">
        <v>482</v>
      </c>
      <c r="K67" s="8" t="s">
        <v>303</v>
      </c>
      <c r="L67" s="5" t="s">
        <v>233</v>
      </c>
      <c r="M67" s="8" t="s">
        <v>367</v>
      </c>
      <c r="N67" s="8" t="s">
        <v>256</v>
      </c>
      <c r="O67" s="8" t="s">
        <v>120</v>
      </c>
      <c r="P67" s="5">
        <v>3</v>
      </c>
      <c r="Q67" s="5"/>
      <c r="R67" s="5"/>
      <c r="S67" s="5"/>
      <c r="T67" s="5">
        <v>3</v>
      </c>
      <c r="U67" s="5">
        <v>5</v>
      </c>
      <c r="V67" s="5">
        <v>2</v>
      </c>
      <c r="W67" s="5">
        <v>2</v>
      </c>
      <c r="X67" s="16">
        <f>Lit_rev_final[[#This Row],[Foundationality_1_5]]*0.35+Lit_rev_final[[#This Row],[Topic_Fit_1_5]]*0.35+Lit_rev_final[[#This Row],[Outlet_Quality_1_5]]*0.2+(0.1*Lit_rev_final[[#This Row],[Bridge_Value_0_3]]/3*5)</f>
        <v>3.5333333333333332</v>
      </c>
      <c r="Y67" s="10" t="s">
        <v>352</v>
      </c>
      <c r="Z67" s="5" t="s">
        <v>156</v>
      </c>
      <c r="AA67" s="5" t="s">
        <v>46</v>
      </c>
      <c r="AB67" s="5" t="s">
        <v>46</v>
      </c>
      <c r="AC67" s="16" t="s">
        <v>483</v>
      </c>
      <c r="AJ67" s="2"/>
    </row>
    <row r="68" spans="1:36" ht="30" customHeight="1" x14ac:dyDescent="0.15">
      <c r="A68" s="5" t="s">
        <v>156</v>
      </c>
      <c r="B68" s="8" t="s">
        <v>484</v>
      </c>
      <c r="C68" s="8" t="s">
        <v>485</v>
      </c>
      <c r="D68" s="8" t="s">
        <v>486</v>
      </c>
      <c r="E68" s="8" t="s">
        <v>382</v>
      </c>
      <c r="F68" s="5">
        <v>2025</v>
      </c>
      <c r="G68" s="5"/>
      <c r="H68" s="5"/>
      <c r="I68" s="8" t="s">
        <v>487</v>
      </c>
      <c r="J68" s="13" t="s">
        <v>488</v>
      </c>
      <c r="K68" s="8" t="s">
        <v>303</v>
      </c>
      <c r="L68" s="5" t="s">
        <v>233</v>
      </c>
      <c r="M68" s="8" t="s">
        <v>367</v>
      </c>
      <c r="N68" s="8" t="s">
        <v>256</v>
      </c>
      <c r="O68" s="8" t="s">
        <v>120</v>
      </c>
      <c r="P68" s="5">
        <v>3</v>
      </c>
      <c r="Q68" s="5"/>
      <c r="R68" s="5"/>
      <c r="S68" s="5"/>
      <c r="T68" s="5">
        <v>3</v>
      </c>
      <c r="U68" s="5">
        <v>5</v>
      </c>
      <c r="V68" s="5">
        <v>2</v>
      </c>
      <c r="W68" s="5">
        <v>2</v>
      </c>
      <c r="X68" s="16">
        <f>Lit_rev_final[[#This Row],[Foundationality_1_5]]*0.35+Lit_rev_final[[#This Row],[Topic_Fit_1_5]]*0.35+Lit_rev_final[[#This Row],[Outlet_Quality_1_5]]*0.2+(0.1*Lit_rev_final[[#This Row],[Bridge_Value_0_3]]/3*5)</f>
        <v>3.5333333333333332</v>
      </c>
      <c r="Y68" s="10" t="s">
        <v>236</v>
      </c>
      <c r="Z68" s="5" t="s">
        <v>156</v>
      </c>
      <c r="AA68" s="5" t="s">
        <v>46</v>
      </c>
      <c r="AB68" s="5" t="s">
        <v>46</v>
      </c>
      <c r="AC68" s="16" t="s">
        <v>489</v>
      </c>
      <c r="AJ68" s="2"/>
    </row>
    <row r="69" spans="1:36" ht="30" customHeight="1" x14ac:dyDescent="0.15">
      <c r="A69" s="5" t="s">
        <v>156</v>
      </c>
      <c r="B69" s="8" t="s">
        <v>490</v>
      </c>
      <c r="C69" s="8" t="s">
        <v>491</v>
      </c>
      <c r="D69" s="8" t="s">
        <v>492</v>
      </c>
      <c r="E69" s="8" t="s">
        <v>493</v>
      </c>
      <c r="F69" s="5">
        <v>2026</v>
      </c>
      <c r="G69" s="5"/>
      <c r="H69" s="5"/>
      <c r="I69" s="8" t="s">
        <v>494</v>
      </c>
      <c r="J69" s="13" t="s">
        <v>495</v>
      </c>
      <c r="K69" s="8" t="s">
        <v>303</v>
      </c>
      <c r="L69" s="5" t="s">
        <v>233</v>
      </c>
      <c r="M69" s="8" t="s">
        <v>234</v>
      </c>
      <c r="N69" s="8" t="s">
        <v>256</v>
      </c>
      <c r="O69" s="8" t="s">
        <v>120</v>
      </c>
      <c r="P69" s="5">
        <v>3</v>
      </c>
      <c r="Q69" s="5"/>
      <c r="R69" s="5"/>
      <c r="S69" s="5"/>
      <c r="T69" s="5">
        <v>3</v>
      </c>
      <c r="U69" s="5">
        <v>5</v>
      </c>
      <c r="V69" s="5">
        <v>2</v>
      </c>
      <c r="W69" s="5">
        <v>2</v>
      </c>
      <c r="X69" s="16">
        <f>Lit_rev_final[[#This Row],[Foundationality_1_5]]*0.35+Lit_rev_final[[#This Row],[Topic_Fit_1_5]]*0.35+Lit_rev_final[[#This Row],[Outlet_Quality_1_5]]*0.2+(0.1*Lit_rev_final[[#This Row],[Bridge_Value_0_3]]/3*5)</f>
        <v>3.5333333333333332</v>
      </c>
      <c r="Y69" s="10" t="s">
        <v>236</v>
      </c>
      <c r="Z69" s="5" t="s">
        <v>156</v>
      </c>
      <c r="AA69" s="5" t="s">
        <v>46</v>
      </c>
      <c r="AB69" s="5" t="s">
        <v>46</v>
      </c>
      <c r="AC69" s="16" t="s">
        <v>496</v>
      </c>
      <c r="AJ69" s="2"/>
    </row>
    <row r="70" spans="1:36" ht="30" hidden="1" customHeight="1" x14ac:dyDescent="0.15">
      <c r="A70" s="7" t="s">
        <v>30</v>
      </c>
      <c r="B70" s="8" t="s">
        <v>497</v>
      </c>
      <c r="C70" s="8" t="s">
        <v>498</v>
      </c>
      <c r="D70" s="8" t="s">
        <v>449</v>
      </c>
      <c r="E70" s="8"/>
      <c r="F70" s="5">
        <v>2021</v>
      </c>
      <c r="G70" s="5">
        <v>858</v>
      </c>
      <c r="H70" s="5">
        <v>882</v>
      </c>
      <c r="I70" s="8" t="s">
        <v>499</v>
      </c>
      <c r="J70" s="13" t="s">
        <v>500</v>
      </c>
      <c r="K70" s="8" t="s">
        <v>303</v>
      </c>
      <c r="L70" s="5" t="s">
        <v>38</v>
      </c>
      <c r="M70" s="8" t="s">
        <v>340</v>
      </c>
      <c r="N70" s="8" t="s">
        <v>256</v>
      </c>
      <c r="O70" s="8" t="s">
        <v>57</v>
      </c>
      <c r="P70" s="5">
        <v>3</v>
      </c>
      <c r="Q70" s="5"/>
      <c r="R70" s="5" t="s">
        <v>174</v>
      </c>
      <c r="S70" s="5"/>
      <c r="T70" s="5">
        <v>4</v>
      </c>
      <c r="U70" s="5">
        <v>4</v>
      </c>
      <c r="V70" s="5">
        <v>2</v>
      </c>
      <c r="W70" s="5">
        <v>2</v>
      </c>
      <c r="X70" s="16">
        <f>Lit_rev_final[[#This Row],[Foundationality_1_5]]*0.35+Lit_rev_final[[#This Row],[Topic_Fit_1_5]]*0.35+Lit_rev_final[[#This Row],[Outlet_Quality_1_5]]*0.2+(0.1*Lit_rev_final[[#This Row],[Bridge_Value_0_3]]/3*5)</f>
        <v>3.5333333333333332</v>
      </c>
      <c r="Y70" s="10" t="s">
        <v>452</v>
      </c>
      <c r="Z70" s="5" t="s">
        <v>156</v>
      </c>
      <c r="AA70" s="5" t="s">
        <v>46</v>
      </c>
      <c r="AB70" s="5" t="s">
        <v>46</v>
      </c>
      <c r="AC70" s="5" t="s">
        <v>46</v>
      </c>
      <c r="AJ70" s="2"/>
    </row>
    <row r="71" spans="1:36" ht="30" customHeight="1" x14ac:dyDescent="0.15">
      <c r="A71" s="5" t="s">
        <v>156</v>
      </c>
      <c r="B71" s="8" t="s">
        <v>501</v>
      </c>
      <c r="C71" s="8" t="s">
        <v>502</v>
      </c>
      <c r="D71" s="8" t="s">
        <v>503</v>
      </c>
      <c r="E71" s="8" t="s">
        <v>504</v>
      </c>
      <c r="F71" s="5">
        <v>2025</v>
      </c>
      <c r="G71" s="5"/>
      <c r="H71" s="5"/>
      <c r="I71" s="8" t="s">
        <v>505</v>
      </c>
      <c r="J71" s="13" t="s">
        <v>506</v>
      </c>
      <c r="K71" s="8" t="s">
        <v>232</v>
      </c>
      <c r="L71" s="5" t="s">
        <v>233</v>
      </c>
      <c r="M71" s="8" t="s">
        <v>234</v>
      </c>
      <c r="N71" s="8" t="s">
        <v>256</v>
      </c>
      <c r="O71" s="8" t="s">
        <v>120</v>
      </c>
      <c r="P71" s="5">
        <v>3</v>
      </c>
      <c r="Q71" s="5"/>
      <c r="R71" s="5"/>
      <c r="S71" s="5"/>
      <c r="T71" s="5">
        <v>3</v>
      </c>
      <c r="U71" s="5">
        <v>5</v>
      </c>
      <c r="V71" s="5">
        <v>2</v>
      </c>
      <c r="W71" s="5">
        <v>2</v>
      </c>
      <c r="X71" s="16">
        <f>Lit_rev_final[[#This Row],[Foundationality_1_5]]*0.35+Lit_rev_final[[#This Row],[Topic_Fit_1_5]]*0.35+Lit_rev_final[[#This Row],[Outlet_Quality_1_5]]*0.2+(0.1*Lit_rev_final[[#This Row],[Bridge_Value_0_3]]/3*5)</f>
        <v>3.5333333333333332</v>
      </c>
      <c r="Y71" s="10" t="s">
        <v>439</v>
      </c>
      <c r="Z71" s="5" t="s">
        <v>156</v>
      </c>
      <c r="AA71" s="5" t="s">
        <v>46</v>
      </c>
      <c r="AB71" s="5" t="s">
        <v>46</v>
      </c>
      <c r="AC71" s="16" t="s">
        <v>507</v>
      </c>
      <c r="AJ71" s="2"/>
    </row>
    <row r="72" spans="1:36" ht="30" customHeight="1" x14ac:dyDescent="0.15">
      <c r="A72" s="5" t="s">
        <v>156</v>
      </c>
      <c r="B72" s="8" t="s">
        <v>508</v>
      </c>
      <c r="C72" s="8" t="s">
        <v>509</v>
      </c>
      <c r="D72" s="8" t="s">
        <v>510</v>
      </c>
      <c r="E72" s="8" t="s">
        <v>511</v>
      </c>
      <c r="F72" s="5">
        <v>2024</v>
      </c>
      <c r="G72" s="5"/>
      <c r="H72" s="5"/>
      <c r="I72" s="8"/>
      <c r="J72" s="13"/>
      <c r="K72" s="8" t="s">
        <v>232</v>
      </c>
      <c r="L72" s="5" t="s">
        <v>233</v>
      </c>
      <c r="M72" s="8" t="s">
        <v>234</v>
      </c>
      <c r="N72" s="8" t="s">
        <v>256</v>
      </c>
      <c r="O72" s="8" t="s">
        <v>120</v>
      </c>
      <c r="P72" s="5">
        <v>2</v>
      </c>
      <c r="Q72" s="5"/>
      <c r="R72" s="5"/>
      <c r="S72" s="5"/>
      <c r="T72" s="5">
        <v>3</v>
      </c>
      <c r="U72" s="5">
        <v>5</v>
      </c>
      <c r="V72" s="5">
        <v>2</v>
      </c>
      <c r="W72" s="5">
        <v>2</v>
      </c>
      <c r="X72" s="16">
        <f>Lit_rev_final[[#This Row],[Foundationality_1_5]]*0.35+Lit_rev_final[[#This Row],[Topic_Fit_1_5]]*0.35+Lit_rev_final[[#This Row],[Outlet_Quality_1_5]]*0.2+(0.1*Lit_rev_final[[#This Row],[Bridge_Value_0_3]]/3*5)</f>
        <v>3.5333333333333332</v>
      </c>
      <c r="Y72" s="10" t="s">
        <v>352</v>
      </c>
      <c r="Z72" s="5" t="s">
        <v>156</v>
      </c>
      <c r="AA72" s="5" t="s">
        <v>46</v>
      </c>
      <c r="AB72" s="5" t="s">
        <v>46</v>
      </c>
      <c r="AC72" s="16" t="s">
        <v>512</v>
      </c>
      <c r="AJ72" s="2"/>
    </row>
    <row r="73" spans="1:36" ht="30" customHeight="1" x14ac:dyDescent="0.15">
      <c r="A73" s="5" t="s">
        <v>156</v>
      </c>
      <c r="B73" s="8" t="s">
        <v>513</v>
      </c>
      <c r="C73" s="8" t="s">
        <v>514</v>
      </c>
      <c r="D73" s="8" t="s">
        <v>515</v>
      </c>
      <c r="E73" s="8" t="s">
        <v>516</v>
      </c>
      <c r="F73" s="5">
        <v>2026</v>
      </c>
      <c r="G73" s="5"/>
      <c r="H73" s="5"/>
      <c r="I73" s="8" t="s">
        <v>517</v>
      </c>
      <c r="J73" s="13" t="s">
        <v>518</v>
      </c>
      <c r="K73" s="8" t="s">
        <v>303</v>
      </c>
      <c r="L73" s="5" t="s">
        <v>233</v>
      </c>
      <c r="M73" s="8" t="s">
        <v>234</v>
      </c>
      <c r="N73" s="8" t="s">
        <v>256</v>
      </c>
      <c r="O73" s="8" t="s">
        <v>120</v>
      </c>
      <c r="P73" s="5">
        <v>3</v>
      </c>
      <c r="Q73" s="5"/>
      <c r="R73" s="5"/>
      <c r="S73" s="5"/>
      <c r="T73" s="5">
        <v>3</v>
      </c>
      <c r="U73" s="5">
        <v>5</v>
      </c>
      <c r="V73" s="5">
        <v>2</v>
      </c>
      <c r="W73" s="5">
        <v>2</v>
      </c>
      <c r="X73" s="16">
        <f>Lit_rev_final[[#This Row],[Foundationality_1_5]]*0.35+Lit_rev_final[[#This Row],[Topic_Fit_1_5]]*0.35+Lit_rev_final[[#This Row],[Outlet_Quality_1_5]]*0.2+(0.1*Lit_rev_final[[#This Row],[Bridge_Value_0_3]]/3*5)</f>
        <v>3.5333333333333332</v>
      </c>
      <c r="Y73" s="10" t="s">
        <v>457</v>
      </c>
      <c r="Z73" s="5" t="s">
        <v>156</v>
      </c>
      <c r="AA73" s="5" t="s">
        <v>46</v>
      </c>
      <c r="AB73" s="5" t="s">
        <v>46</v>
      </c>
      <c r="AC73" s="16" t="s">
        <v>519</v>
      </c>
      <c r="AJ73" s="2"/>
    </row>
    <row r="74" spans="1:36" ht="30" customHeight="1" x14ac:dyDescent="0.15">
      <c r="A74" s="5" t="s">
        <v>156</v>
      </c>
      <c r="B74" s="8" t="s">
        <v>520</v>
      </c>
      <c r="C74" s="8" t="s">
        <v>521</v>
      </c>
      <c r="D74" s="8" t="s">
        <v>522</v>
      </c>
      <c r="E74" s="8" t="s">
        <v>374</v>
      </c>
      <c r="F74" s="5">
        <v>2024</v>
      </c>
      <c r="G74" s="5"/>
      <c r="H74" s="5"/>
      <c r="I74" s="8" t="s">
        <v>523</v>
      </c>
      <c r="J74" s="13" t="s">
        <v>524</v>
      </c>
      <c r="K74" s="8" t="s">
        <v>232</v>
      </c>
      <c r="L74" s="5" t="s">
        <v>233</v>
      </c>
      <c r="M74" s="8" t="s">
        <v>392</v>
      </c>
      <c r="N74" s="8" t="s">
        <v>256</v>
      </c>
      <c r="O74" s="8" t="s">
        <v>120</v>
      </c>
      <c r="P74" s="5">
        <v>3</v>
      </c>
      <c r="Q74" s="5"/>
      <c r="R74" s="5"/>
      <c r="S74" s="5"/>
      <c r="T74" s="5">
        <v>3</v>
      </c>
      <c r="U74" s="5">
        <v>5</v>
      </c>
      <c r="V74" s="5">
        <v>2</v>
      </c>
      <c r="W74" s="5">
        <v>2</v>
      </c>
      <c r="X74" s="16">
        <f>Lit_rev_final[[#This Row],[Foundationality_1_5]]*0.35+Lit_rev_final[[#This Row],[Topic_Fit_1_5]]*0.35+Lit_rev_final[[#This Row],[Outlet_Quality_1_5]]*0.2+(0.1*Lit_rev_final[[#This Row],[Bridge_Value_0_3]]/3*5)</f>
        <v>3.5333333333333332</v>
      </c>
      <c r="Y74" s="10" t="s">
        <v>236</v>
      </c>
      <c r="Z74" s="5" t="s">
        <v>156</v>
      </c>
      <c r="AA74" s="5" t="s">
        <v>46</v>
      </c>
      <c r="AB74" s="5" t="s">
        <v>46</v>
      </c>
      <c r="AC74" s="16" t="s">
        <v>525</v>
      </c>
      <c r="AJ74" s="2"/>
    </row>
    <row r="75" spans="1:36" ht="30" customHeight="1" x14ac:dyDescent="0.15">
      <c r="A75" s="5" t="s">
        <v>156</v>
      </c>
      <c r="B75" s="8" t="s">
        <v>526</v>
      </c>
      <c r="C75" s="8" t="s">
        <v>527</v>
      </c>
      <c r="D75" s="8" t="s">
        <v>528</v>
      </c>
      <c r="E75" s="8" t="s">
        <v>529</v>
      </c>
      <c r="F75" s="5">
        <v>2025</v>
      </c>
      <c r="G75" s="5">
        <v>43</v>
      </c>
      <c r="H75" s="5">
        <v>48</v>
      </c>
      <c r="I75" s="8" t="s">
        <v>530</v>
      </c>
      <c r="J75" s="13" t="s">
        <v>531</v>
      </c>
      <c r="K75" s="8" t="s">
        <v>232</v>
      </c>
      <c r="L75" s="5" t="s">
        <v>233</v>
      </c>
      <c r="M75" s="8" t="s">
        <v>234</v>
      </c>
      <c r="N75" s="8" t="s">
        <v>256</v>
      </c>
      <c r="O75" s="8" t="s">
        <v>120</v>
      </c>
      <c r="P75" s="5">
        <v>3</v>
      </c>
      <c r="Q75" s="5"/>
      <c r="R75" s="5"/>
      <c r="S75" s="5"/>
      <c r="T75" s="5">
        <v>3</v>
      </c>
      <c r="U75" s="5">
        <v>5</v>
      </c>
      <c r="V75" s="5">
        <v>2</v>
      </c>
      <c r="W75" s="5">
        <v>2</v>
      </c>
      <c r="X75" s="16">
        <f>Lit_rev_final[[#This Row],[Foundationality_1_5]]*0.35+Lit_rev_final[[#This Row],[Topic_Fit_1_5]]*0.35+Lit_rev_final[[#This Row],[Outlet_Quality_1_5]]*0.2+(0.1*Lit_rev_final[[#This Row],[Bridge_Value_0_3]]/3*5)</f>
        <v>3.5333333333333332</v>
      </c>
      <c r="Y75" s="10" t="s">
        <v>457</v>
      </c>
      <c r="Z75" s="5" t="s">
        <v>156</v>
      </c>
      <c r="AA75" s="5" t="s">
        <v>46</v>
      </c>
      <c r="AB75" s="5" t="s">
        <v>46</v>
      </c>
      <c r="AC75" s="16" t="s">
        <v>532</v>
      </c>
      <c r="AJ75" s="2"/>
    </row>
    <row r="76" spans="1:36" ht="30" customHeight="1" x14ac:dyDescent="0.15">
      <c r="A76" s="5" t="s">
        <v>156</v>
      </c>
      <c r="B76" s="8" t="s">
        <v>533</v>
      </c>
      <c r="C76" s="8" t="s">
        <v>534</v>
      </c>
      <c r="D76" s="8" t="s">
        <v>410</v>
      </c>
      <c r="E76" s="8" t="s">
        <v>411</v>
      </c>
      <c r="F76" s="5">
        <v>2025</v>
      </c>
      <c r="G76" s="5"/>
      <c r="H76" s="5"/>
      <c r="I76" s="8" t="s">
        <v>535</v>
      </c>
      <c r="J76" s="13" t="s">
        <v>536</v>
      </c>
      <c r="K76" s="8" t="s">
        <v>303</v>
      </c>
      <c r="L76" s="5" t="s">
        <v>233</v>
      </c>
      <c r="M76" s="8" t="s">
        <v>367</v>
      </c>
      <c r="N76" s="8" t="s">
        <v>256</v>
      </c>
      <c r="O76" s="8" t="s">
        <v>120</v>
      </c>
      <c r="P76" s="5">
        <v>3</v>
      </c>
      <c r="Q76" s="5"/>
      <c r="R76" s="5"/>
      <c r="S76" s="5"/>
      <c r="T76" s="5">
        <v>3</v>
      </c>
      <c r="U76" s="5">
        <v>5</v>
      </c>
      <c r="V76" s="5">
        <v>2</v>
      </c>
      <c r="W76" s="5">
        <v>2</v>
      </c>
      <c r="X76" s="16">
        <f>Lit_rev_final[[#This Row],[Foundationality_1_5]]*0.35+Lit_rev_final[[#This Row],[Topic_Fit_1_5]]*0.35+Lit_rev_final[[#This Row],[Outlet_Quality_1_5]]*0.2+(0.1*Lit_rev_final[[#This Row],[Bridge_Value_0_3]]/3*5)</f>
        <v>3.5333333333333332</v>
      </c>
      <c r="Y76" s="10" t="s">
        <v>236</v>
      </c>
      <c r="Z76" s="5" t="s">
        <v>156</v>
      </c>
      <c r="AA76" s="5" t="s">
        <v>46</v>
      </c>
      <c r="AB76" s="5" t="s">
        <v>46</v>
      </c>
      <c r="AC76" s="16" t="s">
        <v>537</v>
      </c>
      <c r="AJ76" s="2"/>
    </row>
    <row r="77" spans="1:36" ht="30" customHeight="1" x14ac:dyDescent="0.15">
      <c r="A77" s="5" t="s">
        <v>156</v>
      </c>
      <c r="B77" s="8" t="s">
        <v>538</v>
      </c>
      <c r="C77" s="8" t="s">
        <v>539</v>
      </c>
      <c r="D77" s="8" t="s">
        <v>436</v>
      </c>
      <c r="E77" s="8" t="s">
        <v>331</v>
      </c>
      <c r="F77" s="5">
        <v>2025</v>
      </c>
      <c r="G77" s="5">
        <v>963</v>
      </c>
      <c r="H77" s="5">
        <v>968</v>
      </c>
      <c r="I77" s="8" t="s">
        <v>540</v>
      </c>
      <c r="J77" s="13" t="s">
        <v>541</v>
      </c>
      <c r="K77" s="8" t="s">
        <v>232</v>
      </c>
      <c r="L77" s="5" t="s">
        <v>233</v>
      </c>
      <c r="M77" s="8" t="s">
        <v>392</v>
      </c>
      <c r="N77" s="8" t="s">
        <v>256</v>
      </c>
      <c r="O77" s="8" t="s">
        <v>120</v>
      </c>
      <c r="P77" s="5">
        <v>3</v>
      </c>
      <c r="Q77" s="5"/>
      <c r="R77" s="5"/>
      <c r="S77" s="5"/>
      <c r="T77" s="5">
        <v>3</v>
      </c>
      <c r="U77" s="5">
        <v>5</v>
      </c>
      <c r="V77" s="5">
        <v>2</v>
      </c>
      <c r="W77" s="5">
        <v>2</v>
      </c>
      <c r="X77" s="16">
        <f>Lit_rev_final[[#This Row],[Foundationality_1_5]]*0.35+Lit_rev_final[[#This Row],[Topic_Fit_1_5]]*0.35+Lit_rev_final[[#This Row],[Outlet_Quality_1_5]]*0.2+(0.1*Lit_rev_final[[#This Row],[Bridge_Value_0_3]]/3*5)</f>
        <v>3.5333333333333332</v>
      </c>
      <c r="Y77" s="10" t="s">
        <v>457</v>
      </c>
      <c r="Z77" s="5" t="s">
        <v>156</v>
      </c>
      <c r="AA77" s="5" t="s">
        <v>46</v>
      </c>
      <c r="AB77" s="5" t="s">
        <v>46</v>
      </c>
      <c r="AC77" s="16" t="s">
        <v>542</v>
      </c>
      <c r="AJ77" s="2"/>
    </row>
    <row r="78" spans="1:36" ht="30" customHeight="1" x14ac:dyDescent="0.15">
      <c r="A78" s="7" t="s">
        <v>30</v>
      </c>
      <c r="B78" s="8" t="s">
        <v>543</v>
      </c>
      <c r="C78" s="8" t="s">
        <v>544</v>
      </c>
      <c r="D78" s="8" t="s">
        <v>545</v>
      </c>
      <c r="E78" s="8" t="s">
        <v>389</v>
      </c>
      <c r="F78" s="5">
        <v>2025</v>
      </c>
      <c r="G78" s="5">
        <v>165</v>
      </c>
      <c r="H78" s="5">
        <v>175</v>
      </c>
      <c r="I78" s="8" t="s">
        <v>546</v>
      </c>
      <c r="J78" s="13" t="s">
        <v>547</v>
      </c>
      <c r="K78" s="8" t="s">
        <v>232</v>
      </c>
      <c r="L78" s="5" t="s">
        <v>233</v>
      </c>
      <c r="M78" s="8" t="s">
        <v>392</v>
      </c>
      <c r="N78" s="8" t="s">
        <v>256</v>
      </c>
      <c r="O78" s="8" t="s">
        <v>120</v>
      </c>
      <c r="P78" s="5">
        <v>3</v>
      </c>
      <c r="Q78" s="5"/>
      <c r="R78" s="5"/>
      <c r="S78" s="5"/>
      <c r="T78" s="5">
        <v>4</v>
      </c>
      <c r="U78" s="5">
        <v>5</v>
      </c>
      <c r="V78" s="5">
        <v>1</v>
      </c>
      <c r="W78" s="5">
        <v>1</v>
      </c>
      <c r="X78" s="16">
        <f>Lit_rev_final[[#This Row],[Foundationality_1_5]]*0.35+Lit_rev_final[[#This Row],[Topic_Fit_1_5]]*0.35+Lit_rev_final[[#This Row],[Outlet_Quality_1_5]]*0.2+(0.1*Lit_rev_final[[#This Row],[Bridge_Value_0_3]]/3*5)</f>
        <v>3.5166666666666666</v>
      </c>
      <c r="Y78" s="10" t="s">
        <v>236</v>
      </c>
      <c r="Z78" s="5" t="s">
        <v>156</v>
      </c>
      <c r="AA78" s="5" t="s">
        <v>46</v>
      </c>
      <c r="AB78" s="5" t="s">
        <v>46</v>
      </c>
      <c r="AC78" s="16" t="s">
        <v>548</v>
      </c>
      <c r="AJ78" s="2"/>
    </row>
    <row r="79" spans="1:36" ht="30" customHeight="1" x14ac:dyDescent="0.15">
      <c r="A79" s="7" t="s">
        <v>30</v>
      </c>
      <c r="B79" s="8" t="s">
        <v>549</v>
      </c>
      <c r="C79" s="8" t="s">
        <v>550</v>
      </c>
      <c r="D79" s="8" t="s">
        <v>551</v>
      </c>
      <c r="E79" s="8" t="s">
        <v>411</v>
      </c>
      <c r="F79" s="5">
        <v>2026</v>
      </c>
      <c r="G79" s="5"/>
      <c r="H79" s="5"/>
      <c r="I79" s="8" t="s">
        <v>552</v>
      </c>
      <c r="J79" s="13" t="s">
        <v>553</v>
      </c>
      <c r="K79" s="8" t="s">
        <v>303</v>
      </c>
      <c r="L79" s="5" t="s">
        <v>233</v>
      </c>
      <c r="M79" s="8" t="s">
        <v>367</v>
      </c>
      <c r="N79" s="8" t="s">
        <v>256</v>
      </c>
      <c r="O79" s="8" t="s">
        <v>120</v>
      </c>
      <c r="P79" s="5">
        <v>3</v>
      </c>
      <c r="Q79" s="5"/>
      <c r="R79" s="5"/>
      <c r="S79" s="5"/>
      <c r="T79" s="5">
        <v>4</v>
      </c>
      <c r="U79" s="5">
        <v>5</v>
      </c>
      <c r="V79" s="5">
        <v>1</v>
      </c>
      <c r="W79" s="5">
        <v>1</v>
      </c>
      <c r="X79" s="16">
        <f>Lit_rev_final[[#This Row],[Foundationality_1_5]]*0.35+Lit_rev_final[[#This Row],[Topic_Fit_1_5]]*0.35+Lit_rev_final[[#This Row],[Outlet_Quality_1_5]]*0.2+(0.1*Lit_rev_final[[#This Row],[Bridge_Value_0_3]]/3*5)</f>
        <v>3.5166666666666666</v>
      </c>
      <c r="Y79" s="10" t="s">
        <v>236</v>
      </c>
      <c r="Z79" s="5" t="s">
        <v>156</v>
      </c>
      <c r="AA79" s="5" t="s">
        <v>46</v>
      </c>
      <c r="AB79" s="5" t="s">
        <v>46</v>
      </c>
      <c r="AC79" s="16" t="s">
        <v>554</v>
      </c>
      <c r="AJ79" s="2"/>
    </row>
    <row r="80" spans="1:36" ht="30" customHeight="1" x14ac:dyDescent="0.15">
      <c r="A80" s="7" t="s">
        <v>30</v>
      </c>
      <c r="B80" s="8" t="s">
        <v>555</v>
      </c>
      <c r="C80" s="8" t="s">
        <v>556</v>
      </c>
      <c r="D80" s="8" t="s">
        <v>557</v>
      </c>
      <c r="E80" s="8" t="s">
        <v>389</v>
      </c>
      <c r="F80" s="5">
        <v>2024</v>
      </c>
      <c r="G80" s="5">
        <v>377</v>
      </c>
      <c r="H80" s="5">
        <v>396</v>
      </c>
      <c r="I80" s="8" t="s">
        <v>558</v>
      </c>
      <c r="J80" s="13" t="s">
        <v>559</v>
      </c>
      <c r="K80" s="8" t="s">
        <v>232</v>
      </c>
      <c r="L80" s="5" t="s">
        <v>233</v>
      </c>
      <c r="M80" s="8" t="s">
        <v>392</v>
      </c>
      <c r="N80" s="8" t="s">
        <v>256</v>
      </c>
      <c r="O80" s="8" t="s">
        <v>120</v>
      </c>
      <c r="P80" s="5">
        <v>3</v>
      </c>
      <c r="Q80" s="5"/>
      <c r="R80" s="5"/>
      <c r="S80" s="5"/>
      <c r="T80" s="5">
        <v>3</v>
      </c>
      <c r="U80" s="5">
        <v>5</v>
      </c>
      <c r="V80" s="5">
        <v>1</v>
      </c>
      <c r="W80" s="5">
        <v>3</v>
      </c>
      <c r="X80" s="16">
        <f>Lit_rev_final[[#This Row],[Foundationality_1_5]]*0.35+Lit_rev_final[[#This Row],[Topic_Fit_1_5]]*0.35+Lit_rev_final[[#This Row],[Outlet_Quality_1_5]]*0.2+(0.1*Lit_rev_final[[#This Row],[Bridge_Value_0_3]]/3*5)</f>
        <v>3.5</v>
      </c>
      <c r="Y80" s="10" t="s">
        <v>560</v>
      </c>
      <c r="Z80" s="5" t="s">
        <v>156</v>
      </c>
      <c r="AA80" s="5" t="s">
        <v>46</v>
      </c>
      <c r="AB80" s="5" t="s">
        <v>46</v>
      </c>
      <c r="AC80" s="16" t="s">
        <v>561</v>
      </c>
      <c r="AJ80" s="2"/>
    </row>
    <row r="81" spans="1:36" ht="30" customHeight="1" x14ac:dyDescent="0.15">
      <c r="A81" s="5" t="s">
        <v>156</v>
      </c>
      <c r="B81" s="8" t="s">
        <v>562</v>
      </c>
      <c r="C81" s="8" t="s">
        <v>563</v>
      </c>
      <c r="D81" s="8" t="s">
        <v>228</v>
      </c>
      <c r="E81" s="8" t="s">
        <v>229</v>
      </c>
      <c r="F81" s="5">
        <v>2024</v>
      </c>
      <c r="G81" s="5"/>
      <c r="H81" s="5"/>
      <c r="I81" s="8" t="s">
        <v>564</v>
      </c>
      <c r="J81" s="13" t="s">
        <v>565</v>
      </c>
      <c r="K81" s="8" t="s">
        <v>232</v>
      </c>
      <c r="L81" s="5" t="s">
        <v>233</v>
      </c>
      <c r="M81" s="8" t="s">
        <v>234</v>
      </c>
      <c r="N81" s="8" t="s">
        <v>256</v>
      </c>
      <c r="O81" s="8" t="s">
        <v>223</v>
      </c>
      <c r="P81" s="5">
        <v>3</v>
      </c>
      <c r="Q81" s="5" t="s">
        <v>67</v>
      </c>
      <c r="R81" s="5"/>
      <c r="S81" s="5" t="s">
        <v>69</v>
      </c>
      <c r="T81" s="5">
        <v>3</v>
      </c>
      <c r="U81" s="5">
        <v>4</v>
      </c>
      <c r="V81" s="5">
        <v>3</v>
      </c>
      <c r="W81" s="5">
        <v>2</v>
      </c>
      <c r="X81" s="16">
        <f>Lit_rev_final[[#This Row],[Foundationality_1_5]]*0.35+Lit_rev_final[[#This Row],[Topic_Fit_1_5]]*0.35+Lit_rev_final[[#This Row],[Outlet_Quality_1_5]]*0.2+(0.1*Lit_rev_final[[#This Row],[Bridge_Value_0_3]]/3*5)</f>
        <v>3.3833333333333333</v>
      </c>
      <c r="Y81" s="10" t="s">
        <v>566</v>
      </c>
      <c r="Z81" s="5" t="s">
        <v>156</v>
      </c>
      <c r="AA81" s="5" t="s">
        <v>46</v>
      </c>
      <c r="AB81" s="5" t="s">
        <v>46</v>
      </c>
      <c r="AC81" s="16" t="s">
        <v>567</v>
      </c>
      <c r="AJ81" s="2"/>
    </row>
    <row r="82" spans="1:36" ht="30" hidden="1" customHeight="1" x14ac:dyDescent="0.15">
      <c r="A82" s="7" t="s">
        <v>30</v>
      </c>
      <c r="B82" s="8" t="s">
        <v>362</v>
      </c>
      <c r="C82" s="8" t="s">
        <v>363</v>
      </c>
      <c r="D82" s="8" t="s">
        <v>364</v>
      </c>
      <c r="E82" s="8"/>
      <c r="F82" s="5">
        <v>2026</v>
      </c>
      <c r="G82" s="5"/>
      <c r="H82" s="5"/>
      <c r="I82" s="8" t="s">
        <v>568</v>
      </c>
      <c r="J82" s="17" t="s">
        <v>569</v>
      </c>
      <c r="K82" s="8" t="s">
        <v>37</v>
      </c>
      <c r="L82" s="5" t="s">
        <v>38</v>
      </c>
      <c r="M82" s="8" t="s">
        <v>46</v>
      </c>
      <c r="N82" s="8" t="s">
        <v>235</v>
      </c>
      <c r="O82" s="8" t="s">
        <v>120</v>
      </c>
      <c r="P82" s="5">
        <v>3</v>
      </c>
      <c r="Q82" s="5"/>
      <c r="R82" s="5" t="s">
        <v>113</v>
      </c>
      <c r="S82" s="5"/>
      <c r="T82" s="5">
        <v>3</v>
      </c>
      <c r="U82" s="5">
        <v>5</v>
      </c>
      <c r="V82" s="5">
        <v>1</v>
      </c>
      <c r="W82" s="5">
        <v>2</v>
      </c>
      <c r="X82" s="16">
        <f>Lit_rev_final[[#This Row],[Foundationality_1_5]]*0.35+Lit_rev_final[[#This Row],[Topic_Fit_1_5]]*0.35+Lit_rev_final[[#This Row],[Outlet_Quality_1_5]]*0.2+(0.1*Lit_rev_final[[#This Row],[Bridge_Value_0_3]]/3*5)</f>
        <v>3.3333333333333335</v>
      </c>
      <c r="Y82" s="10" t="s">
        <v>452</v>
      </c>
      <c r="Z82" s="5" t="s">
        <v>156</v>
      </c>
      <c r="AA82" s="5" t="s">
        <v>46</v>
      </c>
      <c r="AB82" s="5" t="s">
        <v>46</v>
      </c>
      <c r="AC82" s="5" t="s">
        <v>46</v>
      </c>
      <c r="AJ82" s="2"/>
    </row>
    <row r="83" spans="1:36" ht="30" customHeight="1" x14ac:dyDescent="0.15">
      <c r="A83" s="7" t="s">
        <v>30</v>
      </c>
      <c r="B83" s="8" t="s">
        <v>570</v>
      </c>
      <c r="C83" s="8" t="s">
        <v>571</v>
      </c>
      <c r="D83" s="8" t="s">
        <v>572</v>
      </c>
      <c r="E83" s="8" t="s">
        <v>389</v>
      </c>
      <c r="F83" s="5">
        <v>2025</v>
      </c>
      <c r="G83" s="5">
        <v>182</v>
      </c>
      <c r="H83" s="5">
        <v>189</v>
      </c>
      <c r="I83" s="8" t="s">
        <v>573</v>
      </c>
      <c r="J83" s="9" t="s">
        <v>574</v>
      </c>
      <c r="K83" s="8" t="s">
        <v>232</v>
      </c>
      <c r="L83" s="5" t="s">
        <v>233</v>
      </c>
      <c r="M83" s="8" t="s">
        <v>392</v>
      </c>
      <c r="N83" s="8" t="s">
        <v>256</v>
      </c>
      <c r="O83" s="8" t="s">
        <v>120</v>
      </c>
      <c r="P83" s="5">
        <v>3</v>
      </c>
      <c r="Q83" s="5"/>
      <c r="R83" s="5"/>
      <c r="S83" s="5"/>
      <c r="T83" s="5">
        <v>4</v>
      </c>
      <c r="U83" s="5">
        <v>4</v>
      </c>
      <c r="V83" s="5">
        <v>1</v>
      </c>
      <c r="W83" s="5">
        <v>2</v>
      </c>
      <c r="X83" s="16">
        <f>Lit_rev_final[[#This Row],[Foundationality_1_5]]*0.35+Lit_rev_final[[#This Row],[Topic_Fit_1_5]]*0.35+Lit_rev_final[[#This Row],[Outlet_Quality_1_5]]*0.2+(0.1*Lit_rev_final[[#This Row],[Bridge_Value_0_3]]/3*5)</f>
        <v>3.3333333333333335</v>
      </c>
      <c r="Y83" s="10" t="s">
        <v>236</v>
      </c>
      <c r="Z83" s="5" t="s">
        <v>156</v>
      </c>
      <c r="AA83" s="5" t="s">
        <v>46</v>
      </c>
      <c r="AB83" s="5" t="s">
        <v>46</v>
      </c>
      <c r="AC83" s="16" t="s">
        <v>575</v>
      </c>
      <c r="AJ83" s="2"/>
    </row>
    <row r="84" spans="1:36" ht="30" customHeight="1" x14ac:dyDescent="0.15">
      <c r="A84" s="5" t="s">
        <v>156</v>
      </c>
      <c r="B84" s="8" t="s">
        <v>576</v>
      </c>
      <c r="C84" s="8" t="s">
        <v>577</v>
      </c>
      <c r="D84" s="8" t="s">
        <v>276</v>
      </c>
      <c r="E84" s="8"/>
      <c r="F84" s="5">
        <v>2026</v>
      </c>
      <c r="G84" s="5"/>
      <c r="H84" s="5"/>
      <c r="I84" s="8" t="s">
        <v>578</v>
      </c>
      <c r="J84" s="13" t="s">
        <v>579</v>
      </c>
      <c r="K84" s="8" t="s">
        <v>580</v>
      </c>
      <c r="L84" s="5" t="s">
        <v>233</v>
      </c>
      <c r="M84" s="8" t="s">
        <v>46</v>
      </c>
      <c r="N84" s="8" t="s">
        <v>256</v>
      </c>
      <c r="O84" s="8" t="s">
        <v>120</v>
      </c>
      <c r="P84" s="5">
        <v>3</v>
      </c>
      <c r="Q84" s="5" t="s">
        <v>67</v>
      </c>
      <c r="R84" s="5"/>
      <c r="S84" s="5" t="s">
        <v>69</v>
      </c>
      <c r="T84" s="5">
        <v>3</v>
      </c>
      <c r="U84" s="5">
        <v>4</v>
      </c>
      <c r="V84" s="5">
        <v>3</v>
      </c>
      <c r="W84" s="5">
        <v>1</v>
      </c>
      <c r="X84" s="16">
        <f>Lit_rev_final[[#This Row],[Foundationality_1_5]]*0.35+Lit_rev_final[[#This Row],[Topic_Fit_1_5]]*0.35+Lit_rev_final[[#This Row],[Outlet_Quality_1_5]]*0.2+(0.1*Lit_rev_final[[#This Row],[Bridge_Value_0_3]]/3*5)</f>
        <v>3.2166666666666663</v>
      </c>
      <c r="Y84" s="10" t="s">
        <v>581</v>
      </c>
      <c r="Z84" s="5" t="s">
        <v>156</v>
      </c>
      <c r="AA84" s="5" t="s">
        <v>46</v>
      </c>
      <c r="AB84" s="5" t="s">
        <v>46</v>
      </c>
      <c r="AC84" s="16" t="s">
        <v>582</v>
      </c>
      <c r="AJ84" s="2"/>
    </row>
    <row r="85" spans="1:36" ht="30" customHeight="1" x14ac:dyDescent="0.15">
      <c r="A85" s="5" t="s">
        <v>156</v>
      </c>
      <c r="B85" s="8" t="s">
        <v>583</v>
      </c>
      <c r="C85" s="8" t="s">
        <v>584</v>
      </c>
      <c r="D85" s="8" t="s">
        <v>276</v>
      </c>
      <c r="E85" s="8"/>
      <c r="F85" s="5">
        <v>2026</v>
      </c>
      <c r="G85" s="5"/>
      <c r="H85" s="5"/>
      <c r="I85" s="8" t="s">
        <v>585</v>
      </c>
      <c r="J85" s="13" t="s">
        <v>586</v>
      </c>
      <c r="K85" s="8" t="s">
        <v>580</v>
      </c>
      <c r="L85" s="5" t="s">
        <v>233</v>
      </c>
      <c r="M85" s="8" t="s">
        <v>46</v>
      </c>
      <c r="N85" s="8" t="s">
        <v>256</v>
      </c>
      <c r="O85" s="8" t="s">
        <v>120</v>
      </c>
      <c r="P85" s="5">
        <v>3</v>
      </c>
      <c r="Q85" s="5" t="s">
        <v>67</v>
      </c>
      <c r="R85" s="5"/>
      <c r="S85" s="5" t="s">
        <v>69</v>
      </c>
      <c r="T85" s="5">
        <v>3</v>
      </c>
      <c r="U85" s="5">
        <v>4</v>
      </c>
      <c r="V85" s="5">
        <v>3</v>
      </c>
      <c r="W85" s="5">
        <v>1</v>
      </c>
      <c r="X85" s="16">
        <f>Lit_rev_final[[#This Row],[Foundationality_1_5]]*0.35+Lit_rev_final[[#This Row],[Topic_Fit_1_5]]*0.35+Lit_rev_final[[#This Row],[Outlet_Quality_1_5]]*0.2+(0.1*Lit_rev_final[[#This Row],[Bridge_Value_0_3]]/3*5)</f>
        <v>3.2166666666666663</v>
      </c>
      <c r="Y85" s="10" t="s">
        <v>581</v>
      </c>
      <c r="Z85" s="5" t="s">
        <v>156</v>
      </c>
      <c r="AA85" s="5" t="s">
        <v>46</v>
      </c>
      <c r="AB85" s="5" t="s">
        <v>46</v>
      </c>
      <c r="AC85" s="16" t="s">
        <v>587</v>
      </c>
      <c r="AJ85" s="2"/>
    </row>
    <row r="86" spans="1:36" ht="30" customHeight="1" x14ac:dyDescent="0.15">
      <c r="A86" s="5" t="s">
        <v>156</v>
      </c>
      <c r="B86" s="8" t="s">
        <v>588</v>
      </c>
      <c r="C86" s="8" t="s">
        <v>589</v>
      </c>
      <c r="D86" s="8" t="s">
        <v>590</v>
      </c>
      <c r="E86" s="8" t="s">
        <v>591</v>
      </c>
      <c r="F86" s="5">
        <v>2025</v>
      </c>
      <c r="G86" s="5"/>
      <c r="H86" s="5"/>
      <c r="I86" s="8" t="s">
        <v>592</v>
      </c>
      <c r="J86" s="13" t="s">
        <v>593</v>
      </c>
      <c r="K86" s="8" t="s">
        <v>303</v>
      </c>
      <c r="L86" s="5" t="s">
        <v>233</v>
      </c>
      <c r="M86" s="8" t="s">
        <v>367</v>
      </c>
      <c r="N86" s="8" t="s">
        <v>256</v>
      </c>
      <c r="O86" s="8" t="s">
        <v>120</v>
      </c>
      <c r="P86" s="5">
        <v>3</v>
      </c>
      <c r="Q86" s="5"/>
      <c r="R86" s="5"/>
      <c r="S86" s="5"/>
      <c r="T86" s="5">
        <v>3</v>
      </c>
      <c r="U86" s="5">
        <v>4</v>
      </c>
      <c r="V86" s="5">
        <v>2</v>
      </c>
      <c r="W86" s="5">
        <v>2</v>
      </c>
      <c r="X86" s="16">
        <f>Lit_rev_final[[#This Row],[Foundationality_1_5]]*0.35+Lit_rev_final[[#This Row],[Topic_Fit_1_5]]*0.35+Lit_rev_final[[#This Row],[Outlet_Quality_1_5]]*0.2+(0.1*Lit_rev_final[[#This Row],[Bridge_Value_0_3]]/3*5)</f>
        <v>3.1833333333333331</v>
      </c>
      <c r="Y86" s="10" t="s">
        <v>560</v>
      </c>
      <c r="Z86" s="5" t="s">
        <v>156</v>
      </c>
      <c r="AA86" s="5" t="s">
        <v>46</v>
      </c>
      <c r="AB86" s="5" t="s">
        <v>46</v>
      </c>
      <c r="AC86" s="16" t="s">
        <v>594</v>
      </c>
      <c r="AJ86" s="2"/>
    </row>
    <row r="87" spans="1:36" ht="30" customHeight="1" x14ac:dyDescent="0.15">
      <c r="A87" s="5" t="s">
        <v>156</v>
      </c>
      <c r="B87" s="8" t="s">
        <v>595</v>
      </c>
      <c r="C87" s="8" t="s">
        <v>596</v>
      </c>
      <c r="D87" s="8" t="s">
        <v>597</v>
      </c>
      <c r="E87" s="8" t="s">
        <v>152</v>
      </c>
      <c r="F87" s="5">
        <v>2024</v>
      </c>
      <c r="G87" s="5"/>
      <c r="H87" s="5"/>
      <c r="I87" s="8" t="s">
        <v>598</v>
      </c>
      <c r="J87" s="13" t="s">
        <v>599</v>
      </c>
      <c r="K87" s="8" t="s">
        <v>232</v>
      </c>
      <c r="L87" s="5" t="s">
        <v>233</v>
      </c>
      <c r="M87" s="8" t="s">
        <v>234</v>
      </c>
      <c r="N87" s="8" t="s">
        <v>256</v>
      </c>
      <c r="O87" s="8" t="s">
        <v>120</v>
      </c>
      <c r="P87" s="5">
        <v>3</v>
      </c>
      <c r="Q87" s="5"/>
      <c r="R87" s="5"/>
      <c r="S87" s="5"/>
      <c r="T87" s="5">
        <v>3</v>
      </c>
      <c r="U87" s="5">
        <v>4</v>
      </c>
      <c r="V87" s="5">
        <v>2</v>
      </c>
      <c r="W87" s="5">
        <v>2</v>
      </c>
      <c r="X87" s="16">
        <f>Lit_rev_final[[#This Row],[Foundationality_1_5]]*0.35+Lit_rev_final[[#This Row],[Topic_Fit_1_5]]*0.35+Lit_rev_final[[#This Row],[Outlet_Quality_1_5]]*0.2+(0.1*Lit_rev_final[[#This Row],[Bridge_Value_0_3]]/3*5)</f>
        <v>3.1833333333333331</v>
      </c>
      <c r="Y87" s="10" t="s">
        <v>439</v>
      </c>
      <c r="Z87" s="5" t="s">
        <v>156</v>
      </c>
      <c r="AA87" s="5" t="s">
        <v>46</v>
      </c>
      <c r="AB87" s="5" t="s">
        <v>46</v>
      </c>
      <c r="AC87" s="16" t="s">
        <v>600</v>
      </c>
      <c r="AJ87" s="2"/>
    </row>
    <row r="88" spans="1:36" ht="30" customHeight="1" x14ac:dyDescent="0.15">
      <c r="A88" s="5" t="s">
        <v>156</v>
      </c>
      <c r="B88" s="8" t="s">
        <v>601</v>
      </c>
      <c r="C88" s="8" t="s">
        <v>602</v>
      </c>
      <c r="D88" s="8" t="s">
        <v>603</v>
      </c>
      <c r="E88" s="8" t="s">
        <v>411</v>
      </c>
      <c r="F88" s="5">
        <v>2022</v>
      </c>
      <c r="G88" s="5"/>
      <c r="H88" s="5"/>
      <c r="I88" s="8" t="s">
        <v>604</v>
      </c>
      <c r="J88" s="13" t="s">
        <v>605</v>
      </c>
      <c r="K88" s="8" t="s">
        <v>303</v>
      </c>
      <c r="L88" s="5" t="s">
        <v>233</v>
      </c>
      <c r="M88" s="8" t="s">
        <v>367</v>
      </c>
      <c r="N88" s="8" t="s">
        <v>256</v>
      </c>
      <c r="O88" s="8" t="s">
        <v>223</v>
      </c>
      <c r="P88" s="5">
        <v>3</v>
      </c>
      <c r="Q88" s="5"/>
      <c r="R88" s="5"/>
      <c r="S88" s="5"/>
      <c r="T88" s="5">
        <v>3</v>
      </c>
      <c r="U88" s="5">
        <v>4</v>
      </c>
      <c r="V88" s="5">
        <v>2</v>
      </c>
      <c r="W88" s="5">
        <v>2</v>
      </c>
      <c r="X88" s="16">
        <f>Lit_rev_final[[#This Row],[Foundationality_1_5]]*0.35+Lit_rev_final[[#This Row],[Topic_Fit_1_5]]*0.35+Lit_rev_final[[#This Row],[Outlet_Quality_1_5]]*0.2+(0.1*Lit_rev_final[[#This Row],[Bridge_Value_0_3]]/3*5)</f>
        <v>3.1833333333333331</v>
      </c>
      <c r="Y88" s="10" t="s">
        <v>606</v>
      </c>
      <c r="Z88" s="5" t="s">
        <v>156</v>
      </c>
      <c r="AA88" s="5" t="s">
        <v>46</v>
      </c>
      <c r="AB88" s="5" t="s">
        <v>46</v>
      </c>
      <c r="AC88" s="16" t="s">
        <v>607</v>
      </c>
      <c r="AJ88" s="2"/>
    </row>
    <row r="89" spans="1:36" ht="30" customHeight="1" x14ac:dyDescent="0.15">
      <c r="A89" s="5" t="s">
        <v>156</v>
      </c>
      <c r="B89" s="8" t="s">
        <v>608</v>
      </c>
      <c r="C89" s="8" t="s">
        <v>609</v>
      </c>
      <c r="D89" s="8" t="s">
        <v>610</v>
      </c>
      <c r="E89" s="8" t="s">
        <v>493</v>
      </c>
      <c r="F89" s="5">
        <v>2025</v>
      </c>
      <c r="G89" s="5"/>
      <c r="H89" s="5"/>
      <c r="I89" s="8" t="s">
        <v>611</v>
      </c>
      <c r="J89" s="13" t="s">
        <v>612</v>
      </c>
      <c r="K89" s="8" t="s">
        <v>303</v>
      </c>
      <c r="L89" s="5" t="s">
        <v>233</v>
      </c>
      <c r="M89" s="8" t="s">
        <v>234</v>
      </c>
      <c r="N89" s="8" t="s">
        <v>256</v>
      </c>
      <c r="O89" s="8" t="s">
        <v>120</v>
      </c>
      <c r="P89" s="5">
        <v>3</v>
      </c>
      <c r="Q89" s="5"/>
      <c r="R89" s="5"/>
      <c r="S89" s="5"/>
      <c r="T89" s="5">
        <v>3</v>
      </c>
      <c r="U89" s="5">
        <v>4</v>
      </c>
      <c r="V89" s="5">
        <v>2</v>
      </c>
      <c r="W89" s="5">
        <v>2</v>
      </c>
      <c r="X89" s="16">
        <f>Lit_rev_final[[#This Row],[Foundationality_1_5]]*0.35+Lit_rev_final[[#This Row],[Topic_Fit_1_5]]*0.35+Lit_rev_final[[#This Row],[Outlet_Quality_1_5]]*0.2+(0.1*Lit_rev_final[[#This Row],[Bridge_Value_0_3]]/3*5)</f>
        <v>3.1833333333333331</v>
      </c>
      <c r="Y89" s="10" t="s">
        <v>236</v>
      </c>
      <c r="Z89" s="5" t="s">
        <v>156</v>
      </c>
      <c r="AA89" s="5" t="s">
        <v>46</v>
      </c>
      <c r="AB89" s="5" t="s">
        <v>46</v>
      </c>
      <c r="AC89" s="16" t="s">
        <v>613</v>
      </c>
      <c r="AJ89" s="2"/>
    </row>
    <row r="90" spans="1:36" ht="30" customHeight="1" x14ac:dyDescent="0.15">
      <c r="A90" s="5" t="s">
        <v>156</v>
      </c>
      <c r="B90" s="8" t="s">
        <v>614</v>
      </c>
      <c r="C90" s="8" t="s">
        <v>615</v>
      </c>
      <c r="D90" s="8" t="s">
        <v>616</v>
      </c>
      <c r="E90" s="8" t="s">
        <v>617</v>
      </c>
      <c r="F90" s="5">
        <v>2026</v>
      </c>
      <c r="G90" s="5"/>
      <c r="H90" s="5"/>
      <c r="I90" s="8" t="s">
        <v>618</v>
      </c>
      <c r="J90" s="13" t="s">
        <v>619</v>
      </c>
      <c r="K90" s="8" t="s">
        <v>303</v>
      </c>
      <c r="L90" s="5" t="s">
        <v>233</v>
      </c>
      <c r="M90" s="8" t="s">
        <v>367</v>
      </c>
      <c r="N90" s="8" t="s">
        <v>256</v>
      </c>
      <c r="O90" s="8" t="s">
        <v>120</v>
      </c>
      <c r="P90" s="5">
        <v>3</v>
      </c>
      <c r="Q90" s="5"/>
      <c r="R90" s="5"/>
      <c r="S90" s="5"/>
      <c r="T90" s="5">
        <v>3</v>
      </c>
      <c r="U90" s="5">
        <v>4</v>
      </c>
      <c r="V90" s="5">
        <v>2</v>
      </c>
      <c r="W90" s="5">
        <v>2</v>
      </c>
      <c r="X90" s="16">
        <f>Lit_rev_final[[#This Row],[Foundationality_1_5]]*0.35+Lit_rev_final[[#This Row],[Topic_Fit_1_5]]*0.35+Lit_rev_final[[#This Row],[Outlet_Quality_1_5]]*0.2+(0.1*Lit_rev_final[[#This Row],[Bridge_Value_0_3]]/3*5)</f>
        <v>3.1833333333333331</v>
      </c>
      <c r="Y90" s="10" t="s">
        <v>236</v>
      </c>
      <c r="Z90" s="5" t="s">
        <v>156</v>
      </c>
      <c r="AA90" s="5" t="s">
        <v>46</v>
      </c>
      <c r="AB90" s="5" t="s">
        <v>46</v>
      </c>
      <c r="AC90" s="16" t="s">
        <v>620</v>
      </c>
      <c r="AJ90" s="2"/>
    </row>
    <row r="91" spans="1:36" ht="30" customHeight="1" x14ac:dyDescent="0.15">
      <c r="A91" s="5" t="s">
        <v>156</v>
      </c>
      <c r="B91" s="8" t="s">
        <v>621</v>
      </c>
      <c r="C91" s="8" t="s">
        <v>622</v>
      </c>
      <c r="D91" s="8" t="s">
        <v>623</v>
      </c>
      <c r="E91" s="8" t="s">
        <v>404</v>
      </c>
      <c r="F91" s="5">
        <v>2021</v>
      </c>
      <c r="G91" s="5"/>
      <c r="H91" s="5"/>
      <c r="I91" s="8" t="s">
        <v>624</v>
      </c>
      <c r="J91" s="13" t="s">
        <v>625</v>
      </c>
      <c r="K91" s="8" t="s">
        <v>303</v>
      </c>
      <c r="L91" s="5" t="s">
        <v>233</v>
      </c>
      <c r="M91" s="8" t="s">
        <v>367</v>
      </c>
      <c r="N91" s="8" t="s">
        <v>256</v>
      </c>
      <c r="O91" s="8" t="s">
        <v>223</v>
      </c>
      <c r="P91" s="5">
        <v>3</v>
      </c>
      <c r="Q91" s="5"/>
      <c r="R91" s="5"/>
      <c r="S91" s="5"/>
      <c r="T91" s="5">
        <v>3</v>
      </c>
      <c r="U91" s="5">
        <v>4</v>
      </c>
      <c r="V91" s="5">
        <v>2</v>
      </c>
      <c r="W91" s="5">
        <v>2</v>
      </c>
      <c r="X91" s="16">
        <f>Lit_rev_final[[#This Row],[Foundationality_1_5]]*0.35+Lit_rev_final[[#This Row],[Topic_Fit_1_5]]*0.35+Lit_rev_final[[#This Row],[Outlet_Quality_1_5]]*0.2+(0.1*Lit_rev_final[[#This Row],[Bridge_Value_0_3]]/3*5)</f>
        <v>3.1833333333333331</v>
      </c>
      <c r="Y91" s="10" t="s">
        <v>626</v>
      </c>
      <c r="Z91" s="5" t="s">
        <v>156</v>
      </c>
      <c r="AA91" s="5" t="s">
        <v>46</v>
      </c>
      <c r="AB91" s="5" t="s">
        <v>46</v>
      </c>
      <c r="AC91" s="16" t="s">
        <v>627</v>
      </c>
      <c r="AJ91" s="2"/>
    </row>
    <row r="92" spans="1:36" ht="30" customHeight="1" x14ac:dyDescent="0.15">
      <c r="A92" s="5" t="s">
        <v>156</v>
      </c>
      <c r="B92" s="8" t="s">
        <v>628</v>
      </c>
      <c r="C92" s="8" t="s">
        <v>629</v>
      </c>
      <c r="D92" s="8" t="s">
        <v>630</v>
      </c>
      <c r="E92" s="8" t="s">
        <v>152</v>
      </c>
      <c r="F92" s="5">
        <v>2020</v>
      </c>
      <c r="G92" s="5"/>
      <c r="H92" s="5"/>
      <c r="I92" s="8" t="s">
        <v>631</v>
      </c>
      <c r="J92" s="13" t="s">
        <v>632</v>
      </c>
      <c r="K92" s="8" t="s">
        <v>303</v>
      </c>
      <c r="L92" s="5" t="s">
        <v>233</v>
      </c>
      <c r="M92" s="8" t="s">
        <v>234</v>
      </c>
      <c r="N92" s="8" t="s">
        <v>256</v>
      </c>
      <c r="O92" s="8" t="s">
        <v>223</v>
      </c>
      <c r="P92" s="5">
        <v>3</v>
      </c>
      <c r="Q92" s="5"/>
      <c r="R92" s="5"/>
      <c r="S92" s="5"/>
      <c r="T92" s="5">
        <v>3</v>
      </c>
      <c r="U92" s="5">
        <v>4</v>
      </c>
      <c r="V92" s="5">
        <v>2</v>
      </c>
      <c r="W92" s="5">
        <v>2</v>
      </c>
      <c r="X92" s="16">
        <f>Lit_rev_final[[#This Row],[Foundationality_1_5]]*0.35+Lit_rev_final[[#This Row],[Topic_Fit_1_5]]*0.35+Lit_rev_final[[#This Row],[Outlet_Quality_1_5]]*0.2+(0.1*Lit_rev_final[[#This Row],[Bridge_Value_0_3]]/3*5)</f>
        <v>3.1833333333333331</v>
      </c>
      <c r="Y92" s="10" t="s">
        <v>633</v>
      </c>
      <c r="Z92" s="5" t="s">
        <v>156</v>
      </c>
      <c r="AA92" s="5" t="s">
        <v>46</v>
      </c>
      <c r="AB92" s="5" t="s">
        <v>46</v>
      </c>
      <c r="AC92" s="16" t="s">
        <v>634</v>
      </c>
      <c r="AJ92" s="2"/>
    </row>
    <row r="93" spans="1:36" ht="30" customHeight="1" x14ac:dyDescent="0.15">
      <c r="A93" s="5" t="s">
        <v>156</v>
      </c>
      <c r="B93" s="8" t="s">
        <v>635</v>
      </c>
      <c r="C93" s="8" t="s">
        <v>636</v>
      </c>
      <c r="D93" s="8" t="s">
        <v>637</v>
      </c>
      <c r="E93" s="8" t="s">
        <v>331</v>
      </c>
      <c r="F93" s="5">
        <v>2026</v>
      </c>
      <c r="G93" s="5"/>
      <c r="H93" s="5"/>
      <c r="I93" s="8" t="s">
        <v>638</v>
      </c>
      <c r="J93" s="13" t="s">
        <v>639</v>
      </c>
      <c r="K93" s="8" t="s">
        <v>232</v>
      </c>
      <c r="L93" s="5" t="s">
        <v>233</v>
      </c>
      <c r="M93" s="8" t="s">
        <v>234</v>
      </c>
      <c r="N93" s="8" t="s">
        <v>256</v>
      </c>
      <c r="O93" s="8" t="s">
        <v>120</v>
      </c>
      <c r="P93" s="5">
        <v>3</v>
      </c>
      <c r="Q93" s="5"/>
      <c r="R93" s="5"/>
      <c r="S93" s="5"/>
      <c r="T93" s="5">
        <v>3</v>
      </c>
      <c r="U93" s="5">
        <v>4</v>
      </c>
      <c r="V93" s="5">
        <v>2</v>
      </c>
      <c r="W93" s="5">
        <v>2</v>
      </c>
      <c r="X93" s="16">
        <f>Lit_rev_final[[#This Row],[Foundationality_1_5]]*0.35+Lit_rev_final[[#This Row],[Topic_Fit_1_5]]*0.35+Lit_rev_final[[#This Row],[Outlet_Quality_1_5]]*0.2+(0.1*Lit_rev_final[[#This Row],[Bridge_Value_0_3]]/3*5)</f>
        <v>3.1833333333333331</v>
      </c>
      <c r="Y93" s="10" t="s">
        <v>236</v>
      </c>
      <c r="Z93" s="5" t="s">
        <v>156</v>
      </c>
      <c r="AA93" s="5" t="s">
        <v>46</v>
      </c>
      <c r="AB93" s="5" t="s">
        <v>46</v>
      </c>
      <c r="AC93" s="16" t="s">
        <v>640</v>
      </c>
      <c r="AJ93" s="2"/>
    </row>
    <row r="94" spans="1:36" ht="30" customHeight="1" x14ac:dyDescent="0.15">
      <c r="A94" s="5" t="s">
        <v>156</v>
      </c>
      <c r="B94" s="8" t="s">
        <v>641</v>
      </c>
      <c r="C94" s="8" t="s">
        <v>642</v>
      </c>
      <c r="D94" s="8" t="s">
        <v>643</v>
      </c>
      <c r="E94" s="8" t="s">
        <v>374</v>
      </c>
      <c r="F94" s="5">
        <v>2025</v>
      </c>
      <c r="G94" s="5"/>
      <c r="H94" s="5"/>
      <c r="I94" s="8" t="s">
        <v>644</v>
      </c>
      <c r="J94" s="13" t="s">
        <v>645</v>
      </c>
      <c r="K94" s="8" t="s">
        <v>232</v>
      </c>
      <c r="L94" s="5" t="s">
        <v>233</v>
      </c>
      <c r="M94" s="8" t="s">
        <v>392</v>
      </c>
      <c r="N94" s="8" t="s">
        <v>256</v>
      </c>
      <c r="O94" s="8" t="s">
        <v>120</v>
      </c>
      <c r="P94" s="5">
        <v>3</v>
      </c>
      <c r="Q94" s="5"/>
      <c r="R94" s="5"/>
      <c r="S94" s="5"/>
      <c r="T94" s="5">
        <v>3</v>
      </c>
      <c r="U94" s="5">
        <v>4</v>
      </c>
      <c r="V94" s="5">
        <v>2</v>
      </c>
      <c r="W94" s="5">
        <v>2</v>
      </c>
      <c r="X94" s="16">
        <f>Lit_rev_final[[#This Row],[Foundationality_1_5]]*0.35+Lit_rev_final[[#This Row],[Topic_Fit_1_5]]*0.35+Lit_rev_final[[#This Row],[Outlet_Quality_1_5]]*0.2+(0.1*Lit_rev_final[[#This Row],[Bridge_Value_0_3]]/3*5)</f>
        <v>3.1833333333333331</v>
      </c>
      <c r="Y94" s="10" t="s">
        <v>352</v>
      </c>
      <c r="Z94" s="5" t="s">
        <v>156</v>
      </c>
      <c r="AA94" s="5" t="s">
        <v>46</v>
      </c>
      <c r="AB94" s="5" t="s">
        <v>46</v>
      </c>
      <c r="AC94" s="16" t="s">
        <v>646</v>
      </c>
      <c r="AJ94" s="2"/>
    </row>
    <row r="95" spans="1:36" ht="30" customHeight="1" x14ac:dyDescent="0.15">
      <c r="A95" s="5" t="s">
        <v>156</v>
      </c>
      <c r="B95" s="8" t="s">
        <v>647</v>
      </c>
      <c r="C95" s="8" t="s">
        <v>648</v>
      </c>
      <c r="D95" s="8" t="s">
        <v>649</v>
      </c>
      <c r="E95" s="8" t="s">
        <v>253</v>
      </c>
      <c r="F95" s="5">
        <v>2024</v>
      </c>
      <c r="G95" s="5">
        <v>431</v>
      </c>
      <c r="H95" s="5">
        <v>453</v>
      </c>
      <c r="I95" s="8" t="s">
        <v>650</v>
      </c>
      <c r="J95" s="13" t="s">
        <v>651</v>
      </c>
      <c r="K95" s="8" t="s">
        <v>232</v>
      </c>
      <c r="L95" s="5" t="s">
        <v>233</v>
      </c>
      <c r="M95" s="8" t="s">
        <v>234</v>
      </c>
      <c r="N95" s="8" t="s">
        <v>256</v>
      </c>
      <c r="O95" s="8" t="s">
        <v>223</v>
      </c>
      <c r="P95" s="5">
        <v>3</v>
      </c>
      <c r="Q95" s="5"/>
      <c r="R95" s="5"/>
      <c r="S95" s="5"/>
      <c r="T95" s="5">
        <v>3</v>
      </c>
      <c r="U95" s="5">
        <v>4</v>
      </c>
      <c r="V95" s="5">
        <v>2</v>
      </c>
      <c r="W95" s="5">
        <v>2</v>
      </c>
      <c r="X95" s="16">
        <f>Lit_rev_final[[#This Row],[Foundationality_1_5]]*0.35+Lit_rev_final[[#This Row],[Topic_Fit_1_5]]*0.35+Lit_rev_final[[#This Row],[Outlet_Quality_1_5]]*0.2+(0.1*Lit_rev_final[[#This Row],[Bridge_Value_0_3]]/3*5)</f>
        <v>3.1833333333333331</v>
      </c>
      <c r="Y95" s="10" t="s">
        <v>566</v>
      </c>
      <c r="Z95" s="5" t="s">
        <v>156</v>
      </c>
      <c r="AA95" s="5" t="s">
        <v>46</v>
      </c>
      <c r="AB95" s="5" t="s">
        <v>46</v>
      </c>
      <c r="AC95" s="16" t="s">
        <v>652</v>
      </c>
      <c r="AJ95" s="2"/>
    </row>
    <row r="96" spans="1:36" ht="30" customHeight="1" x14ac:dyDescent="0.15">
      <c r="A96" s="5" t="s">
        <v>156</v>
      </c>
      <c r="B96" s="8" t="s">
        <v>653</v>
      </c>
      <c r="C96" s="8" t="s">
        <v>654</v>
      </c>
      <c r="D96" s="8" t="s">
        <v>655</v>
      </c>
      <c r="E96" s="8" t="s">
        <v>411</v>
      </c>
      <c r="F96" s="5">
        <v>2025</v>
      </c>
      <c r="G96" s="5"/>
      <c r="H96" s="5"/>
      <c r="I96" s="8" t="s">
        <v>656</v>
      </c>
      <c r="J96" s="13" t="s">
        <v>657</v>
      </c>
      <c r="K96" s="8" t="s">
        <v>303</v>
      </c>
      <c r="L96" s="5" t="s">
        <v>233</v>
      </c>
      <c r="M96" s="8" t="s">
        <v>367</v>
      </c>
      <c r="N96" s="8" t="s">
        <v>256</v>
      </c>
      <c r="O96" s="8" t="s">
        <v>120</v>
      </c>
      <c r="P96" s="5">
        <v>3</v>
      </c>
      <c r="Q96" s="5"/>
      <c r="R96" s="5"/>
      <c r="S96" s="5"/>
      <c r="T96" s="5">
        <v>3</v>
      </c>
      <c r="U96" s="5">
        <v>4</v>
      </c>
      <c r="V96" s="5">
        <v>2</v>
      </c>
      <c r="W96" s="5">
        <v>2</v>
      </c>
      <c r="X96" s="16">
        <f>Lit_rev_final[[#This Row],[Foundationality_1_5]]*0.35+Lit_rev_final[[#This Row],[Topic_Fit_1_5]]*0.35+Lit_rev_final[[#This Row],[Outlet_Quality_1_5]]*0.2+(0.1*Lit_rev_final[[#This Row],[Bridge_Value_0_3]]/3*5)</f>
        <v>3.1833333333333331</v>
      </c>
      <c r="Y96" s="10" t="s">
        <v>236</v>
      </c>
      <c r="Z96" s="5" t="s">
        <v>156</v>
      </c>
      <c r="AA96" s="5" t="s">
        <v>46</v>
      </c>
      <c r="AB96" s="5" t="s">
        <v>46</v>
      </c>
      <c r="AC96" s="16" t="s">
        <v>658</v>
      </c>
      <c r="AJ96" s="2"/>
    </row>
    <row r="97" spans="1:36" ht="30" customHeight="1" x14ac:dyDescent="0.15">
      <c r="A97" s="5" t="s">
        <v>156</v>
      </c>
      <c r="B97" s="8" t="s">
        <v>659</v>
      </c>
      <c r="C97" s="8" t="s">
        <v>660</v>
      </c>
      <c r="D97" s="8" t="s">
        <v>661</v>
      </c>
      <c r="E97" s="8" t="s">
        <v>382</v>
      </c>
      <c r="F97" s="5">
        <v>2025</v>
      </c>
      <c r="G97" s="5"/>
      <c r="H97" s="5"/>
      <c r="I97" s="8" t="s">
        <v>662</v>
      </c>
      <c r="J97" s="13" t="s">
        <v>663</v>
      </c>
      <c r="K97" s="8" t="s">
        <v>303</v>
      </c>
      <c r="L97" s="5" t="s">
        <v>233</v>
      </c>
      <c r="M97" s="8" t="s">
        <v>367</v>
      </c>
      <c r="N97" s="8" t="s">
        <v>256</v>
      </c>
      <c r="O97" s="8" t="s">
        <v>120</v>
      </c>
      <c r="P97" s="5">
        <v>3</v>
      </c>
      <c r="Q97" s="5"/>
      <c r="R97" s="5"/>
      <c r="S97" s="5"/>
      <c r="T97" s="5">
        <v>3</v>
      </c>
      <c r="U97" s="5">
        <v>4</v>
      </c>
      <c r="V97" s="5">
        <v>2</v>
      </c>
      <c r="W97" s="5">
        <v>2</v>
      </c>
      <c r="X97" s="16">
        <f>Lit_rev_final[[#This Row],[Foundationality_1_5]]*0.35+Lit_rev_final[[#This Row],[Topic_Fit_1_5]]*0.35+Lit_rev_final[[#This Row],[Outlet_Quality_1_5]]*0.2+(0.1*Lit_rev_final[[#This Row],[Bridge_Value_0_3]]/3*5)</f>
        <v>3.1833333333333331</v>
      </c>
      <c r="Y97" s="10" t="s">
        <v>457</v>
      </c>
      <c r="Z97" s="5" t="s">
        <v>156</v>
      </c>
      <c r="AA97" s="5" t="s">
        <v>46</v>
      </c>
      <c r="AB97" s="5" t="s">
        <v>46</v>
      </c>
      <c r="AC97" s="16" t="s">
        <v>664</v>
      </c>
      <c r="AJ97" s="2"/>
    </row>
    <row r="98" spans="1:36" ht="30" customHeight="1" x14ac:dyDescent="0.15">
      <c r="A98" s="5" t="s">
        <v>156</v>
      </c>
      <c r="B98" s="8" t="s">
        <v>665</v>
      </c>
      <c r="C98" s="8" t="s">
        <v>666</v>
      </c>
      <c r="D98" s="8" t="s">
        <v>667</v>
      </c>
      <c r="E98" s="8" t="s">
        <v>668</v>
      </c>
      <c r="F98" s="5">
        <v>2025</v>
      </c>
      <c r="G98" s="5"/>
      <c r="H98" s="5"/>
      <c r="I98" s="8" t="s">
        <v>669</v>
      </c>
      <c r="J98" s="13" t="s">
        <v>670</v>
      </c>
      <c r="K98" s="8" t="s">
        <v>303</v>
      </c>
      <c r="L98" s="5" t="s">
        <v>233</v>
      </c>
      <c r="M98" s="8" t="s">
        <v>234</v>
      </c>
      <c r="N98" s="8" t="s">
        <v>256</v>
      </c>
      <c r="O98" s="8" t="s">
        <v>120</v>
      </c>
      <c r="P98" s="5">
        <v>3</v>
      </c>
      <c r="Q98" s="5"/>
      <c r="R98" s="5"/>
      <c r="S98" s="5"/>
      <c r="T98" s="5">
        <v>3</v>
      </c>
      <c r="U98" s="5">
        <v>4</v>
      </c>
      <c r="V98" s="5">
        <v>2</v>
      </c>
      <c r="W98" s="5">
        <v>2</v>
      </c>
      <c r="X98" s="16">
        <f>Lit_rev_final[[#This Row],[Foundationality_1_5]]*0.35+Lit_rev_final[[#This Row],[Topic_Fit_1_5]]*0.35+Lit_rev_final[[#This Row],[Outlet_Quality_1_5]]*0.2+(0.1*Lit_rev_final[[#This Row],[Bridge_Value_0_3]]/3*5)</f>
        <v>3.1833333333333331</v>
      </c>
      <c r="Y98" s="10" t="s">
        <v>360</v>
      </c>
      <c r="Z98" s="5" t="s">
        <v>156</v>
      </c>
      <c r="AA98" s="5" t="s">
        <v>46</v>
      </c>
      <c r="AB98" s="5" t="s">
        <v>46</v>
      </c>
      <c r="AC98" s="16" t="s">
        <v>671</v>
      </c>
      <c r="AJ98" s="2"/>
    </row>
    <row r="99" spans="1:36" ht="30" customHeight="1" x14ac:dyDescent="0.15">
      <c r="A99" s="7" t="s">
        <v>30</v>
      </c>
      <c r="B99" s="8" t="s">
        <v>672</v>
      </c>
      <c r="C99" s="8" t="s">
        <v>673</v>
      </c>
      <c r="D99" s="8" t="s">
        <v>674</v>
      </c>
      <c r="E99" s="8" t="s">
        <v>331</v>
      </c>
      <c r="F99" s="5">
        <v>2025</v>
      </c>
      <c r="G99" s="5"/>
      <c r="H99" s="5"/>
      <c r="I99" s="8" t="s">
        <v>675</v>
      </c>
      <c r="J99" s="13" t="s">
        <v>676</v>
      </c>
      <c r="K99" s="8" t="s">
        <v>232</v>
      </c>
      <c r="L99" s="5" t="s">
        <v>233</v>
      </c>
      <c r="M99" s="8" t="s">
        <v>234</v>
      </c>
      <c r="N99" s="8" t="s">
        <v>256</v>
      </c>
      <c r="O99" s="8" t="s">
        <v>120</v>
      </c>
      <c r="P99" s="5">
        <v>3</v>
      </c>
      <c r="Q99" s="5"/>
      <c r="R99" s="5"/>
      <c r="S99" s="5"/>
      <c r="T99" s="5">
        <v>3</v>
      </c>
      <c r="U99" s="5">
        <v>4</v>
      </c>
      <c r="V99" s="5">
        <v>2</v>
      </c>
      <c r="W99" s="5">
        <v>2</v>
      </c>
      <c r="X99" s="16">
        <f>Lit_rev_final[[#This Row],[Foundationality_1_5]]*0.35+Lit_rev_final[[#This Row],[Topic_Fit_1_5]]*0.35+Lit_rev_final[[#This Row],[Outlet_Quality_1_5]]*0.2+(0.1*Lit_rev_final[[#This Row],[Bridge_Value_0_3]]/3*5)</f>
        <v>3.1833333333333331</v>
      </c>
      <c r="Y99" s="10" t="s">
        <v>352</v>
      </c>
      <c r="Z99" s="5" t="s">
        <v>156</v>
      </c>
      <c r="AA99" s="5" t="s">
        <v>46</v>
      </c>
      <c r="AB99" s="5" t="s">
        <v>46</v>
      </c>
      <c r="AC99" s="16" t="s">
        <v>677</v>
      </c>
      <c r="AJ99" s="2"/>
    </row>
    <row r="100" spans="1:36" ht="30" customHeight="1" x14ac:dyDescent="0.15">
      <c r="A100" s="5" t="s">
        <v>156</v>
      </c>
      <c r="B100" s="8" t="s">
        <v>678</v>
      </c>
      <c r="C100" s="8" t="s">
        <v>679</v>
      </c>
      <c r="D100" s="8" t="s">
        <v>680</v>
      </c>
      <c r="E100" s="8" t="s">
        <v>382</v>
      </c>
      <c r="F100" s="5">
        <v>2026</v>
      </c>
      <c r="G100" s="5"/>
      <c r="H100" s="5"/>
      <c r="I100" s="8" t="s">
        <v>681</v>
      </c>
      <c r="J100" s="13" t="s">
        <v>682</v>
      </c>
      <c r="K100" s="8" t="s">
        <v>303</v>
      </c>
      <c r="L100" s="5" t="s">
        <v>233</v>
      </c>
      <c r="M100" s="8" t="s">
        <v>234</v>
      </c>
      <c r="N100" s="8" t="s">
        <v>256</v>
      </c>
      <c r="O100" s="8" t="s">
        <v>120</v>
      </c>
      <c r="P100" s="5">
        <v>3</v>
      </c>
      <c r="Q100" s="5" t="s">
        <v>67</v>
      </c>
      <c r="R100" s="5"/>
      <c r="S100" s="5" t="s">
        <v>69</v>
      </c>
      <c r="T100" s="5">
        <v>3</v>
      </c>
      <c r="U100" s="5">
        <v>4</v>
      </c>
      <c r="V100" s="5">
        <v>2</v>
      </c>
      <c r="W100" s="5">
        <v>2</v>
      </c>
      <c r="X100" s="16">
        <f>Lit_rev_final[[#This Row],[Foundationality_1_5]]*0.35+Lit_rev_final[[#This Row],[Topic_Fit_1_5]]*0.35+Lit_rev_final[[#This Row],[Outlet_Quality_1_5]]*0.2+(0.1*Lit_rev_final[[#This Row],[Bridge_Value_0_3]]/3*5)</f>
        <v>3.1833333333333331</v>
      </c>
      <c r="Y100" s="10" t="s">
        <v>236</v>
      </c>
      <c r="Z100" s="5" t="s">
        <v>156</v>
      </c>
      <c r="AA100" s="5" t="s">
        <v>46</v>
      </c>
      <c r="AB100" s="5" t="s">
        <v>46</v>
      </c>
      <c r="AC100" s="16" t="s">
        <v>683</v>
      </c>
      <c r="AJ100" s="2"/>
    </row>
    <row r="101" spans="1:36" ht="30" customHeight="1" x14ac:dyDescent="0.15">
      <c r="A101" s="5" t="s">
        <v>156</v>
      </c>
      <c r="B101" s="8" t="s">
        <v>684</v>
      </c>
      <c r="C101" s="8" t="s">
        <v>685</v>
      </c>
      <c r="D101" s="8" t="s">
        <v>686</v>
      </c>
      <c r="E101" s="8" t="s">
        <v>687</v>
      </c>
      <c r="F101" s="5">
        <v>2016</v>
      </c>
      <c r="G101" s="5">
        <v>739</v>
      </c>
      <c r="H101" s="5">
        <v>761</v>
      </c>
      <c r="I101" s="8" t="s">
        <v>688</v>
      </c>
      <c r="J101" s="13" t="s">
        <v>689</v>
      </c>
      <c r="K101" s="8" t="s">
        <v>232</v>
      </c>
      <c r="L101" s="5" t="s">
        <v>233</v>
      </c>
      <c r="M101" s="8" t="s">
        <v>234</v>
      </c>
      <c r="N101" s="8" t="s">
        <v>256</v>
      </c>
      <c r="O101" s="8" t="s">
        <v>223</v>
      </c>
      <c r="P101" s="5">
        <v>3</v>
      </c>
      <c r="Q101" s="5"/>
      <c r="R101" s="5"/>
      <c r="S101" s="5"/>
      <c r="T101" s="5">
        <v>3</v>
      </c>
      <c r="U101" s="5">
        <v>4</v>
      </c>
      <c r="V101" s="5">
        <v>2</v>
      </c>
      <c r="W101" s="5">
        <v>2</v>
      </c>
      <c r="X101" s="16">
        <f>Lit_rev_final[[#This Row],[Foundationality_1_5]]*0.35+Lit_rev_final[[#This Row],[Topic_Fit_1_5]]*0.35+Lit_rev_final[[#This Row],[Outlet_Quality_1_5]]*0.2+(0.1*Lit_rev_final[[#This Row],[Bridge_Value_0_3]]/3*5)</f>
        <v>3.1833333333333331</v>
      </c>
      <c r="Y101" s="10" t="s">
        <v>566</v>
      </c>
      <c r="Z101" s="5" t="s">
        <v>156</v>
      </c>
      <c r="AA101" s="5" t="s">
        <v>46</v>
      </c>
      <c r="AB101" s="5" t="s">
        <v>46</v>
      </c>
      <c r="AC101" s="16" t="s">
        <v>690</v>
      </c>
      <c r="AJ101" s="2"/>
    </row>
    <row r="102" spans="1:36" ht="30" customHeight="1" x14ac:dyDescent="0.15">
      <c r="A102" s="5" t="s">
        <v>156</v>
      </c>
      <c r="B102" s="8" t="s">
        <v>691</v>
      </c>
      <c r="C102" s="8" t="s">
        <v>692</v>
      </c>
      <c r="D102" s="8" t="s">
        <v>693</v>
      </c>
      <c r="E102" s="8" t="s">
        <v>694</v>
      </c>
      <c r="F102" s="5">
        <v>2018</v>
      </c>
      <c r="G102" s="5"/>
      <c r="H102" s="5"/>
      <c r="I102" s="8"/>
      <c r="J102" s="13" t="s">
        <v>695</v>
      </c>
      <c r="K102" s="8" t="s">
        <v>303</v>
      </c>
      <c r="L102" s="5" t="s">
        <v>233</v>
      </c>
      <c r="M102" s="8" t="s">
        <v>367</v>
      </c>
      <c r="N102" s="8" t="s">
        <v>256</v>
      </c>
      <c r="O102" s="8" t="s">
        <v>223</v>
      </c>
      <c r="P102" s="5">
        <v>3</v>
      </c>
      <c r="Q102" s="5"/>
      <c r="R102" s="5"/>
      <c r="S102" s="5"/>
      <c r="T102" s="5">
        <v>3</v>
      </c>
      <c r="U102" s="5">
        <v>4</v>
      </c>
      <c r="V102" s="5">
        <v>2</v>
      </c>
      <c r="W102" s="5">
        <v>2</v>
      </c>
      <c r="X102" s="16">
        <f>Lit_rev_final[[#This Row],[Foundationality_1_5]]*0.35+Lit_rev_final[[#This Row],[Topic_Fit_1_5]]*0.35+Lit_rev_final[[#This Row],[Outlet_Quality_1_5]]*0.2+(0.1*Lit_rev_final[[#This Row],[Bridge_Value_0_3]]/3*5)</f>
        <v>3.1833333333333331</v>
      </c>
      <c r="Y102" s="10" t="s">
        <v>566</v>
      </c>
      <c r="Z102" s="5" t="s">
        <v>156</v>
      </c>
      <c r="AA102" s="5" t="s">
        <v>46</v>
      </c>
      <c r="AB102" s="5" t="s">
        <v>46</v>
      </c>
      <c r="AC102" s="16" t="s">
        <v>696</v>
      </c>
      <c r="AJ102" s="2"/>
    </row>
    <row r="103" spans="1:36" ht="30" customHeight="1" x14ac:dyDescent="0.15">
      <c r="A103" s="5" t="s">
        <v>156</v>
      </c>
      <c r="B103" s="8" t="s">
        <v>697</v>
      </c>
      <c r="C103" s="8" t="s">
        <v>698</v>
      </c>
      <c r="D103" s="8" t="s">
        <v>699</v>
      </c>
      <c r="E103" s="8" t="s">
        <v>253</v>
      </c>
      <c r="F103" s="5">
        <v>2025</v>
      </c>
      <c r="G103" s="5">
        <v>1029</v>
      </c>
      <c r="H103" s="5">
        <v>1047</v>
      </c>
      <c r="I103" s="8" t="s">
        <v>700</v>
      </c>
      <c r="J103" s="13" t="s">
        <v>701</v>
      </c>
      <c r="K103" s="8" t="s">
        <v>232</v>
      </c>
      <c r="L103" s="5" t="s">
        <v>233</v>
      </c>
      <c r="M103" s="8" t="s">
        <v>234</v>
      </c>
      <c r="N103" s="8" t="s">
        <v>256</v>
      </c>
      <c r="O103" s="8" t="s">
        <v>223</v>
      </c>
      <c r="P103" s="5">
        <v>3</v>
      </c>
      <c r="Q103" s="5"/>
      <c r="R103" s="5"/>
      <c r="S103" s="5"/>
      <c r="T103" s="5">
        <v>3</v>
      </c>
      <c r="U103" s="5">
        <v>4</v>
      </c>
      <c r="V103" s="5">
        <v>2</v>
      </c>
      <c r="W103" s="5">
        <v>2</v>
      </c>
      <c r="X103" s="16">
        <f>Lit_rev_final[[#This Row],[Foundationality_1_5]]*0.35+Lit_rev_final[[#This Row],[Topic_Fit_1_5]]*0.35+Lit_rev_final[[#This Row],[Outlet_Quality_1_5]]*0.2+(0.1*Lit_rev_final[[#This Row],[Bridge_Value_0_3]]/3*5)</f>
        <v>3.1833333333333331</v>
      </c>
      <c r="Y103" s="10" t="s">
        <v>702</v>
      </c>
      <c r="Z103" s="5" t="s">
        <v>156</v>
      </c>
      <c r="AA103" s="5" t="s">
        <v>46</v>
      </c>
      <c r="AB103" s="5" t="s">
        <v>46</v>
      </c>
      <c r="AC103" s="16" t="s">
        <v>703</v>
      </c>
      <c r="AJ103" s="2"/>
    </row>
    <row r="104" spans="1:36" ht="30" customHeight="1" x14ac:dyDescent="0.15">
      <c r="A104" s="7" t="s">
        <v>30</v>
      </c>
      <c r="B104" s="8" t="s">
        <v>704</v>
      </c>
      <c r="C104" s="8" t="s">
        <v>705</v>
      </c>
      <c r="D104" s="8" t="s">
        <v>706</v>
      </c>
      <c r="E104" s="8" t="s">
        <v>707</v>
      </c>
      <c r="F104" s="5">
        <v>2025</v>
      </c>
      <c r="G104" s="5"/>
      <c r="H104" s="5"/>
      <c r="I104" s="8" t="s">
        <v>708</v>
      </c>
      <c r="J104" s="13" t="s">
        <v>709</v>
      </c>
      <c r="K104" s="8" t="s">
        <v>303</v>
      </c>
      <c r="L104" s="5" t="s">
        <v>233</v>
      </c>
      <c r="M104" s="8" t="s">
        <v>234</v>
      </c>
      <c r="N104" s="8" t="s">
        <v>256</v>
      </c>
      <c r="O104" s="8" t="s">
        <v>223</v>
      </c>
      <c r="P104" s="5">
        <v>3</v>
      </c>
      <c r="Q104" s="5"/>
      <c r="R104" s="5"/>
      <c r="S104" s="5"/>
      <c r="T104" s="5">
        <v>4</v>
      </c>
      <c r="U104" s="5">
        <v>3</v>
      </c>
      <c r="V104" s="5">
        <v>2</v>
      </c>
      <c r="W104" s="5">
        <v>2</v>
      </c>
      <c r="X104" s="16">
        <f>Lit_rev_final[[#This Row],[Foundationality_1_5]]*0.35+Lit_rev_final[[#This Row],[Topic_Fit_1_5]]*0.35+Lit_rev_final[[#This Row],[Outlet_Quality_1_5]]*0.2+(0.1*Lit_rev_final[[#This Row],[Bridge_Value_0_3]]/3*5)</f>
        <v>3.1833333333333331</v>
      </c>
      <c r="Y104" s="10" t="s">
        <v>566</v>
      </c>
      <c r="Z104" s="5" t="s">
        <v>156</v>
      </c>
      <c r="AA104" s="5" t="s">
        <v>46</v>
      </c>
      <c r="AB104" s="5" t="s">
        <v>46</v>
      </c>
      <c r="AC104" s="16" t="s">
        <v>710</v>
      </c>
      <c r="AJ104" s="2"/>
    </row>
    <row r="105" spans="1:36" ht="30" customHeight="1" x14ac:dyDescent="0.15">
      <c r="A105" s="5" t="s">
        <v>156</v>
      </c>
      <c r="B105" s="8" t="s">
        <v>711</v>
      </c>
      <c r="C105" s="8" t="s">
        <v>712</v>
      </c>
      <c r="D105" s="8" t="s">
        <v>713</v>
      </c>
      <c r="E105" s="8" t="s">
        <v>374</v>
      </c>
      <c r="F105" s="5">
        <v>2025</v>
      </c>
      <c r="G105" s="5"/>
      <c r="H105" s="5"/>
      <c r="I105" s="8" t="s">
        <v>714</v>
      </c>
      <c r="J105" s="13" t="s">
        <v>715</v>
      </c>
      <c r="K105" s="8" t="s">
        <v>377</v>
      </c>
      <c r="L105" s="5" t="s">
        <v>233</v>
      </c>
      <c r="M105" s="8" t="s">
        <v>46</v>
      </c>
      <c r="N105" s="8" t="s">
        <v>256</v>
      </c>
      <c r="O105" s="8" t="s">
        <v>120</v>
      </c>
      <c r="P105" s="5">
        <v>3</v>
      </c>
      <c r="Q105" s="5"/>
      <c r="R105" s="5"/>
      <c r="S105" s="5"/>
      <c r="T105" s="5">
        <v>3</v>
      </c>
      <c r="U105" s="5">
        <v>4</v>
      </c>
      <c r="V105" s="5">
        <v>2</v>
      </c>
      <c r="W105" s="5">
        <v>2</v>
      </c>
      <c r="X105" s="16">
        <f>Lit_rev_final[[#This Row],[Foundationality_1_5]]*0.35+Lit_rev_final[[#This Row],[Topic_Fit_1_5]]*0.35+Lit_rev_final[[#This Row],[Outlet_Quality_1_5]]*0.2+(0.1*Lit_rev_final[[#This Row],[Bridge_Value_0_3]]/3*5)</f>
        <v>3.1833333333333331</v>
      </c>
      <c r="Y105" s="10" t="s">
        <v>352</v>
      </c>
      <c r="Z105" s="5" t="s">
        <v>156</v>
      </c>
      <c r="AA105" s="5" t="s">
        <v>46</v>
      </c>
      <c r="AB105" s="5" t="s">
        <v>46</v>
      </c>
      <c r="AC105" s="16" t="s">
        <v>716</v>
      </c>
      <c r="AJ105" s="2"/>
    </row>
    <row r="106" spans="1:36" ht="30" customHeight="1" x14ac:dyDescent="0.15">
      <c r="A106" s="5" t="s">
        <v>156</v>
      </c>
      <c r="B106" s="8" t="s">
        <v>717</v>
      </c>
      <c r="C106" s="8" t="s">
        <v>718</v>
      </c>
      <c r="D106" s="8" t="s">
        <v>719</v>
      </c>
      <c r="E106" s="8" t="s">
        <v>374</v>
      </c>
      <c r="F106" s="5">
        <v>2025</v>
      </c>
      <c r="G106" s="5"/>
      <c r="H106" s="5"/>
      <c r="I106" s="8" t="s">
        <v>720</v>
      </c>
      <c r="J106" s="13" t="s">
        <v>721</v>
      </c>
      <c r="K106" s="8" t="s">
        <v>377</v>
      </c>
      <c r="L106" s="5" t="s">
        <v>233</v>
      </c>
      <c r="M106" s="8" t="s">
        <v>46</v>
      </c>
      <c r="N106" s="8" t="s">
        <v>256</v>
      </c>
      <c r="O106" s="8" t="s">
        <v>120</v>
      </c>
      <c r="P106" s="5">
        <v>3</v>
      </c>
      <c r="Q106" s="5"/>
      <c r="R106" s="5"/>
      <c r="S106" s="5"/>
      <c r="T106" s="5">
        <v>3</v>
      </c>
      <c r="U106" s="5">
        <v>4</v>
      </c>
      <c r="V106" s="5">
        <v>2</v>
      </c>
      <c r="W106" s="5">
        <v>2</v>
      </c>
      <c r="X106" s="16">
        <f>Lit_rev_final[[#This Row],[Foundationality_1_5]]*0.35+Lit_rev_final[[#This Row],[Topic_Fit_1_5]]*0.35+Lit_rev_final[[#This Row],[Outlet_Quality_1_5]]*0.2+(0.1*Lit_rev_final[[#This Row],[Bridge_Value_0_3]]/3*5)</f>
        <v>3.1833333333333331</v>
      </c>
      <c r="Y106" s="10" t="s">
        <v>236</v>
      </c>
      <c r="Z106" s="5" t="s">
        <v>156</v>
      </c>
      <c r="AA106" s="5" t="s">
        <v>46</v>
      </c>
      <c r="AB106" s="5" t="s">
        <v>46</v>
      </c>
      <c r="AC106" s="16" t="s">
        <v>722</v>
      </c>
      <c r="AJ106" s="2"/>
    </row>
    <row r="107" spans="1:36" ht="30" customHeight="1" x14ac:dyDescent="0.15">
      <c r="A107" s="5" t="s">
        <v>156</v>
      </c>
      <c r="B107" s="8" t="s">
        <v>723</v>
      </c>
      <c r="C107" s="8" t="s">
        <v>724</v>
      </c>
      <c r="D107" s="8" t="s">
        <v>725</v>
      </c>
      <c r="E107" s="8" t="s">
        <v>726</v>
      </c>
      <c r="F107" s="5">
        <v>2025</v>
      </c>
      <c r="G107" s="5"/>
      <c r="H107" s="5"/>
      <c r="I107" s="8" t="s">
        <v>727</v>
      </c>
      <c r="J107" s="13" t="s">
        <v>728</v>
      </c>
      <c r="K107" s="8" t="s">
        <v>303</v>
      </c>
      <c r="L107" s="5" t="s">
        <v>233</v>
      </c>
      <c r="M107" s="8" t="s">
        <v>234</v>
      </c>
      <c r="N107" s="8" t="s">
        <v>256</v>
      </c>
      <c r="O107" s="8" t="s">
        <v>223</v>
      </c>
      <c r="P107" s="5">
        <v>3</v>
      </c>
      <c r="Q107" s="5"/>
      <c r="R107" s="5"/>
      <c r="S107" s="5"/>
      <c r="T107" s="5">
        <v>3</v>
      </c>
      <c r="U107" s="5">
        <v>4</v>
      </c>
      <c r="V107" s="5">
        <v>2</v>
      </c>
      <c r="W107" s="5">
        <v>2</v>
      </c>
      <c r="X107" s="16">
        <f>Lit_rev_final[[#This Row],[Foundationality_1_5]]*0.35+Lit_rev_final[[#This Row],[Topic_Fit_1_5]]*0.35+Lit_rev_final[[#This Row],[Outlet_Quality_1_5]]*0.2+(0.1*Lit_rev_final[[#This Row],[Bridge_Value_0_3]]/3*5)</f>
        <v>3.1833333333333331</v>
      </c>
      <c r="Y107" s="10" t="s">
        <v>566</v>
      </c>
      <c r="Z107" s="5" t="s">
        <v>156</v>
      </c>
      <c r="AA107" s="5" t="s">
        <v>46</v>
      </c>
      <c r="AB107" s="5" t="s">
        <v>46</v>
      </c>
      <c r="AC107" s="16" t="s">
        <v>729</v>
      </c>
      <c r="AJ107" s="2"/>
    </row>
    <row r="108" spans="1:36" ht="30" customHeight="1" x14ac:dyDescent="0.15">
      <c r="A108" s="5" t="s">
        <v>156</v>
      </c>
      <c r="B108" s="8" t="s">
        <v>730</v>
      </c>
      <c r="C108" s="8" t="s">
        <v>731</v>
      </c>
      <c r="D108" s="8" t="s">
        <v>732</v>
      </c>
      <c r="E108" s="8" t="s">
        <v>152</v>
      </c>
      <c r="F108" s="5">
        <v>2025</v>
      </c>
      <c r="G108" s="5"/>
      <c r="H108" s="5"/>
      <c r="I108" s="8" t="s">
        <v>733</v>
      </c>
      <c r="J108" s="13" t="s">
        <v>734</v>
      </c>
      <c r="K108" s="8" t="s">
        <v>232</v>
      </c>
      <c r="L108" s="5" t="s">
        <v>233</v>
      </c>
      <c r="M108" s="8" t="s">
        <v>234</v>
      </c>
      <c r="N108" s="8" t="s">
        <v>256</v>
      </c>
      <c r="O108" s="8" t="s">
        <v>120</v>
      </c>
      <c r="P108" s="5">
        <v>3</v>
      </c>
      <c r="Q108" s="5"/>
      <c r="R108" s="5"/>
      <c r="S108" s="5"/>
      <c r="T108" s="5">
        <v>3</v>
      </c>
      <c r="U108" s="5">
        <v>4</v>
      </c>
      <c r="V108" s="5">
        <v>2</v>
      </c>
      <c r="W108" s="5">
        <v>2</v>
      </c>
      <c r="X108" s="16">
        <f>Lit_rev_final[[#This Row],[Foundationality_1_5]]*0.35+Lit_rev_final[[#This Row],[Topic_Fit_1_5]]*0.35+Lit_rev_final[[#This Row],[Outlet_Quality_1_5]]*0.2+(0.1*Lit_rev_final[[#This Row],[Bridge_Value_0_3]]/3*5)</f>
        <v>3.1833333333333331</v>
      </c>
      <c r="Y108" s="10" t="s">
        <v>735</v>
      </c>
      <c r="Z108" s="5" t="s">
        <v>156</v>
      </c>
      <c r="AA108" s="5" t="s">
        <v>46</v>
      </c>
      <c r="AB108" s="5" t="s">
        <v>46</v>
      </c>
      <c r="AC108" s="16" t="s">
        <v>736</v>
      </c>
      <c r="AJ108" s="2"/>
    </row>
    <row r="109" spans="1:36" ht="30" customHeight="1" x14ac:dyDescent="0.15">
      <c r="A109" s="5" t="s">
        <v>156</v>
      </c>
      <c r="B109" s="8" t="s">
        <v>737</v>
      </c>
      <c r="C109" s="8" t="s">
        <v>738</v>
      </c>
      <c r="D109" s="8" t="s">
        <v>739</v>
      </c>
      <c r="E109" s="8" t="s">
        <v>411</v>
      </c>
      <c r="F109" s="5">
        <v>2025</v>
      </c>
      <c r="G109" s="5"/>
      <c r="H109" s="5"/>
      <c r="I109" s="8" t="s">
        <v>740</v>
      </c>
      <c r="J109" s="13" t="s">
        <v>741</v>
      </c>
      <c r="K109" s="8" t="s">
        <v>303</v>
      </c>
      <c r="L109" s="5" t="s">
        <v>233</v>
      </c>
      <c r="M109" s="8" t="s">
        <v>234</v>
      </c>
      <c r="N109" s="8" t="s">
        <v>256</v>
      </c>
      <c r="O109" s="8" t="s">
        <v>120</v>
      </c>
      <c r="P109" s="5">
        <v>3</v>
      </c>
      <c r="Q109" s="5"/>
      <c r="R109" s="5"/>
      <c r="S109" s="5"/>
      <c r="T109" s="5">
        <v>3</v>
      </c>
      <c r="U109" s="5">
        <v>4</v>
      </c>
      <c r="V109" s="5">
        <v>2</v>
      </c>
      <c r="W109" s="5">
        <v>2</v>
      </c>
      <c r="X109" s="16">
        <f>Lit_rev_final[[#This Row],[Foundationality_1_5]]*0.35+Lit_rev_final[[#This Row],[Topic_Fit_1_5]]*0.35+Lit_rev_final[[#This Row],[Outlet_Quality_1_5]]*0.2+(0.1*Lit_rev_final[[#This Row],[Bridge_Value_0_3]]/3*5)</f>
        <v>3.1833333333333331</v>
      </c>
      <c r="Y109" s="10" t="s">
        <v>236</v>
      </c>
      <c r="Z109" s="5" t="s">
        <v>156</v>
      </c>
      <c r="AA109" s="5" t="s">
        <v>46</v>
      </c>
      <c r="AB109" s="5" t="s">
        <v>46</v>
      </c>
      <c r="AC109" s="16" t="s">
        <v>742</v>
      </c>
      <c r="AJ109" s="2"/>
    </row>
    <row r="110" spans="1:36" ht="30" customHeight="1" x14ac:dyDescent="0.15">
      <c r="A110" s="5" t="s">
        <v>156</v>
      </c>
      <c r="B110" s="8" t="s">
        <v>743</v>
      </c>
      <c r="C110" s="8" t="s">
        <v>744</v>
      </c>
      <c r="D110" s="8" t="s">
        <v>623</v>
      </c>
      <c r="E110" s="8" t="s">
        <v>404</v>
      </c>
      <c r="F110" s="5">
        <v>2025</v>
      </c>
      <c r="G110" s="5"/>
      <c r="H110" s="5"/>
      <c r="I110" s="8" t="s">
        <v>745</v>
      </c>
      <c r="J110" s="13" t="s">
        <v>746</v>
      </c>
      <c r="K110" s="8" t="s">
        <v>303</v>
      </c>
      <c r="L110" s="5" t="s">
        <v>233</v>
      </c>
      <c r="M110" s="8" t="s">
        <v>367</v>
      </c>
      <c r="N110" s="8" t="s">
        <v>256</v>
      </c>
      <c r="O110" s="8" t="s">
        <v>120</v>
      </c>
      <c r="P110" s="5">
        <v>3</v>
      </c>
      <c r="Q110" s="5"/>
      <c r="R110" s="5"/>
      <c r="S110" s="5"/>
      <c r="T110" s="5">
        <v>3</v>
      </c>
      <c r="U110" s="5">
        <v>4</v>
      </c>
      <c r="V110" s="5">
        <v>2</v>
      </c>
      <c r="W110" s="5">
        <v>2</v>
      </c>
      <c r="X110" s="16">
        <f>Lit_rev_final[[#This Row],[Foundationality_1_5]]*0.35+Lit_rev_final[[#This Row],[Topic_Fit_1_5]]*0.35+Lit_rev_final[[#This Row],[Outlet_Quality_1_5]]*0.2+(0.1*Lit_rev_final[[#This Row],[Bridge_Value_0_3]]/3*5)</f>
        <v>3.1833333333333331</v>
      </c>
      <c r="Y110" s="10" t="s">
        <v>236</v>
      </c>
      <c r="Z110" s="5" t="s">
        <v>156</v>
      </c>
      <c r="AA110" s="5" t="s">
        <v>46</v>
      </c>
      <c r="AB110" s="5" t="s">
        <v>46</v>
      </c>
      <c r="AC110" s="16" t="s">
        <v>747</v>
      </c>
      <c r="AJ110" s="2"/>
    </row>
    <row r="111" spans="1:36" ht="30" customHeight="1" x14ac:dyDescent="0.15">
      <c r="A111" s="5" t="s">
        <v>156</v>
      </c>
      <c r="B111" s="8" t="s">
        <v>748</v>
      </c>
      <c r="C111" s="8" t="s">
        <v>749</v>
      </c>
      <c r="D111" s="8" t="s">
        <v>750</v>
      </c>
      <c r="E111" s="8" t="s">
        <v>300</v>
      </c>
      <c r="F111" s="5">
        <v>2025</v>
      </c>
      <c r="G111" s="5"/>
      <c r="H111" s="5"/>
      <c r="I111" s="8" t="s">
        <v>751</v>
      </c>
      <c r="J111" s="13" t="s">
        <v>752</v>
      </c>
      <c r="K111" s="8" t="s">
        <v>303</v>
      </c>
      <c r="L111" s="5" t="s">
        <v>233</v>
      </c>
      <c r="M111" s="8" t="s">
        <v>234</v>
      </c>
      <c r="N111" s="8" t="s">
        <v>256</v>
      </c>
      <c r="O111" s="8" t="s">
        <v>223</v>
      </c>
      <c r="P111" s="5">
        <v>3</v>
      </c>
      <c r="Q111" s="5"/>
      <c r="R111" s="5"/>
      <c r="S111" s="5"/>
      <c r="T111" s="5">
        <v>3</v>
      </c>
      <c r="U111" s="5">
        <v>4</v>
      </c>
      <c r="V111" s="5">
        <v>2</v>
      </c>
      <c r="W111" s="5">
        <v>2</v>
      </c>
      <c r="X111" s="16">
        <f>Lit_rev_final[[#This Row],[Foundationality_1_5]]*0.35+Lit_rev_final[[#This Row],[Topic_Fit_1_5]]*0.35+Lit_rev_final[[#This Row],[Outlet_Quality_1_5]]*0.2+(0.1*Lit_rev_final[[#This Row],[Bridge_Value_0_3]]/3*5)</f>
        <v>3.1833333333333331</v>
      </c>
      <c r="Y111" s="10" t="s">
        <v>566</v>
      </c>
      <c r="Z111" s="5" t="s">
        <v>156</v>
      </c>
      <c r="AA111" s="5" t="s">
        <v>46</v>
      </c>
      <c r="AB111" s="5" t="s">
        <v>46</v>
      </c>
      <c r="AC111" s="16" t="s">
        <v>753</v>
      </c>
      <c r="AJ111" s="2"/>
    </row>
    <row r="112" spans="1:36" ht="30" customHeight="1" x14ac:dyDescent="0.15">
      <c r="A112" s="5" t="s">
        <v>156</v>
      </c>
      <c r="B112" s="8" t="s">
        <v>754</v>
      </c>
      <c r="C112" s="8" t="s">
        <v>755</v>
      </c>
      <c r="D112" s="8" t="s">
        <v>756</v>
      </c>
      <c r="E112" s="8" t="s">
        <v>757</v>
      </c>
      <c r="F112" s="5">
        <v>2024</v>
      </c>
      <c r="G112" s="5"/>
      <c r="H112" s="5"/>
      <c r="I112" s="8" t="s">
        <v>758</v>
      </c>
      <c r="J112" s="13" t="s">
        <v>759</v>
      </c>
      <c r="K112" s="8" t="s">
        <v>303</v>
      </c>
      <c r="L112" s="5" t="s">
        <v>233</v>
      </c>
      <c r="M112" s="8" t="s">
        <v>234</v>
      </c>
      <c r="N112" s="8" t="s">
        <v>256</v>
      </c>
      <c r="O112" s="8" t="s">
        <v>223</v>
      </c>
      <c r="P112" s="5">
        <v>3</v>
      </c>
      <c r="Q112" s="5"/>
      <c r="R112" s="5"/>
      <c r="S112" s="5"/>
      <c r="T112" s="5">
        <v>3</v>
      </c>
      <c r="U112" s="5">
        <v>4</v>
      </c>
      <c r="V112" s="5">
        <v>2</v>
      </c>
      <c r="W112" s="5">
        <v>2</v>
      </c>
      <c r="X112" s="16">
        <f>Lit_rev_final[[#This Row],[Foundationality_1_5]]*0.35+Lit_rev_final[[#This Row],[Topic_Fit_1_5]]*0.35+Lit_rev_final[[#This Row],[Outlet_Quality_1_5]]*0.2+(0.1*Lit_rev_final[[#This Row],[Bridge_Value_0_3]]/3*5)</f>
        <v>3.1833333333333331</v>
      </c>
      <c r="Y112" s="10" t="s">
        <v>606</v>
      </c>
      <c r="Z112" s="5" t="s">
        <v>156</v>
      </c>
      <c r="AA112" s="5" t="s">
        <v>46</v>
      </c>
      <c r="AB112" s="5" t="s">
        <v>46</v>
      </c>
      <c r="AC112" s="16" t="s">
        <v>760</v>
      </c>
      <c r="AJ112" s="2"/>
    </row>
    <row r="113" spans="1:36" ht="30" customHeight="1" x14ac:dyDescent="0.15">
      <c r="A113" s="5" t="s">
        <v>156</v>
      </c>
      <c r="B113" s="8" t="s">
        <v>761</v>
      </c>
      <c r="C113" s="8" t="s">
        <v>762</v>
      </c>
      <c r="D113" s="8" t="s">
        <v>763</v>
      </c>
      <c r="E113" s="8" t="s">
        <v>764</v>
      </c>
      <c r="F113" s="5">
        <v>2018</v>
      </c>
      <c r="G113" s="5" t="s">
        <v>765</v>
      </c>
      <c r="H113" s="5" t="s">
        <v>766</v>
      </c>
      <c r="I113" s="8" t="s">
        <v>767</v>
      </c>
      <c r="J113" s="13" t="s">
        <v>768</v>
      </c>
      <c r="K113" s="8" t="s">
        <v>232</v>
      </c>
      <c r="L113" s="5" t="s">
        <v>233</v>
      </c>
      <c r="M113" s="8" t="s">
        <v>234</v>
      </c>
      <c r="N113" s="8" t="s">
        <v>256</v>
      </c>
      <c r="O113" s="8" t="s">
        <v>223</v>
      </c>
      <c r="P113" s="5">
        <v>3</v>
      </c>
      <c r="Q113" s="5"/>
      <c r="R113" s="5"/>
      <c r="S113" s="5"/>
      <c r="T113" s="5">
        <v>3</v>
      </c>
      <c r="U113" s="5">
        <v>4</v>
      </c>
      <c r="V113" s="5">
        <v>2</v>
      </c>
      <c r="W113" s="5">
        <v>2</v>
      </c>
      <c r="X113" s="16">
        <f>Lit_rev_final[[#This Row],[Foundationality_1_5]]*0.35+Lit_rev_final[[#This Row],[Topic_Fit_1_5]]*0.35+Lit_rev_final[[#This Row],[Outlet_Quality_1_5]]*0.2+(0.1*Lit_rev_final[[#This Row],[Bridge_Value_0_3]]/3*5)</f>
        <v>3.1833333333333331</v>
      </c>
      <c r="Y113" s="10" t="s">
        <v>769</v>
      </c>
      <c r="Z113" s="5" t="s">
        <v>156</v>
      </c>
      <c r="AA113" s="5" t="s">
        <v>46</v>
      </c>
      <c r="AB113" s="5" t="s">
        <v>46</v>
      </c>
      <c r="AC113" s="16" t="s">
        <v>770</v>
      </c>
      <c r="AJ113" s="2"/>
    </row>
    <row r="114" spans="1:36" ht="30" customHeight="1" x14ac:dyDescent="0.15">
      <c r="A114" s="5" t="s">
        <v>156</v>
      </c>
      <c r="B114" s="8" t="s">
        <v>771</v>
      </c>
      <c r="C114" s="8" t="s">
        <v>772</v>
      </c>
      <c r="D114" s="8" t="s">
        <v>773</v>
      </c>
      <c r="E114" s="8" t="s">
        <v>764</v>
      </c>
      <c r="F114" s="5">
        <v>2025</v>
      </c>
      <c r="G114" s="5"/>
      <c r="H114" s="5"/>
      <c r="I114" s="8" t="s">
        <v>774</v>
      </c>
      <c r="J114" s="13" t="s">
        <v>775</v>
      </c>
      <c r="K114" s="8" t="s">
        <v>232</v>
      </c>
      <c r="L114" s="5" t="s">
        <v>233</v>
      </c>
      <c r="M114" s="8" t="s">
        <v>234</v>
      </c>
      <c r="N114" s="8" t="s">
        <v>256</v>
      </c>
      <c r="O114" s="8" t="s">
        <v>223</v>
      </c>
      <c r="P114" s="5">
        <v>3</v>
      </c>
      <c r="Q114" s="5"/>
      <c r="R114" s="5"/>
      <c r="S114" s="5"/>
      <c r="T114" s="5">
        <v>3</v>
      </c>
      <c r="U114" s="5">
        <v>4</v>
      </c>
      <c r="V114" s="5">
        <v>2</v>
      </c>
      <c r="W114" s="5">
        <v>2</v>
      </c>
      <c r="X114" s="16">
        <f>Lit_rev_final[[#This Row],[Foundationality_1_5]]*0.35+Lit_rev_final[[#This Row],[Topic_Fit_1_5]]*0.35+Lit_rev_final[[#This Row],[Outlet_Quality_1_5]]*0.2+(0.1*Lit_rev_final[[#This Row],[Bridge_Value_0_3]]/3*5)</f>
        <v>3.1833333333333331</v>
      </c>
      <c r="Y114" s="10" t="s">
        <v>702</v>
      </c>
      <c r="Z114" s="5" t="s">
        <v>156</v>
      </c>
      <c r="AA114" s="5" t="s">
        <v>46</v>
      </c>
      <c r="AB114" s="5" t="s">
        <v>46</v>
      </c>
      <c r="AC114" s="16" t="s">
        <v>776</v>
      </c>
      <c r="AJ114" s="2"/>
    </row>
    <row r="115" spans="1:36" ht="30" customHeight="1" x14ac:dyDescent="0.15">
      <c r="A115" s="5" t="s">
        <v>156</v>
      </c>
      <c r="B115" s="8" t="s">
        <v>777</v>
      </c>
      <c r="C115" s="8" t="s">
        <v>778</v>
      </c>
      <c r="D115" s="8" t="s">
        <v>364</v>
      </c>
      <c r="E115" s="8" t="s">
        <v>365</v>
      </c>
      <c r="F115" s="5">
        <v>2024</v>
      </c>
      <c r="G115" s="5"/>
      <c r="H115" s="5"/>
      <c r="I115" s="8"/>
      <c r="J115" s="13" t="s">
        <v>779</v>
      </c>
      <c r="K115" s="8" t="s">
        <v>303</v>
      </c>
      <c r="L115" s="5" t="s">
        <v>233</v>
      </c>
      <c r="M115" s="8" t="s">
        <v>367</v>
      </c>
      <c r="N115" s="8" t="s">
        <v>256</v>
      </c>
      <c r="O115" s="8" t="s">
        <v>120</v>
      </c>
      <c r="P115" s="5">
        <v>3</v>
      </c>
      <c r="Q115" s="5"/>
      <c r="R115" s="5" t="s">
        <v>113</v>
      </c>
      <c r="S115" s="5"/>
      <c r="T115" s="5">
        <v>3</v>
      </c>
      <c r="U115" s="5">
        <v>4</v>
      </c>
      <c r="V115" s="5">
        <v>2</v>
      </c>
      <c r="W115" s="5">
        <v>2</v>
      </c>
      <c r="X115" s="16">
        <f>Lit_rev_final[[#This Row],[Foundationality_1_5]]*0.35+Lit_rev_final[[#This Row],[Topic_Fit_1_5]]*0.35+Lit_rev_final[[#This Row],[Outlet_Quality_1_5]]*0.2+(0.1*Lit_rev_final[[#This Row],[Bridge_Value_0_3]]/3*5)</f>
        <v>3.1833333333333331</v>
      </c>
      <c r="Y115" s="10" t="s">
        <v>236</v>
      </c>
      <c r="Z115" s="5" t="s">
        <v>156</v>
      </c>
      <c r="AA115" s="5" t="s">
        <v>46</v>
      </c>
      <c r="AB115" s="5" t="s">
        <v>46</v>
      </c>
      <c r="AC115" s="16" t="s">
        <v>780</v>
      </c>
      <c r="AJ115" s="2"/>
    </row>
    <row r="116" spans="1:36" ht="30" customHeight="1" x14ac:dyDescent="0.15">
      <c r="A116" s="5" t="s">
        <v>156</v>
      </c>
      <c r="B116" s="8" t="s">
        <v>781</v>
      </c>
      <c r="C116" s="8" t="s">
        <v>782</v>
      </c>
      <c r="D116" s="8" t="s">
        <v>630</v>
      </c>
      <c r="E116" s="8" t="s">
        <v>152</v>
      </c>
      <c r="F116" s="5">
        <v>2020</v>
      </c>
      <c r="G116" s="5"/>
      <c r="H116" s="5"/>
      <c r="I116" s="8" t="s">
        <v>783</v>
      </c>
      <c r="J116" s="13" t="s">
        <v>784</v>
      </c>
      <c r="K116" s="8" t="s">
        <v>303</v>
      </c>
      <c r="L116" s="5" t="s">
        <v>233</v>
      </c>
      <c r="M116" s="8" t="s">
        <v>234</v>
      </c>
      <c r="N116" s="8" t="s">
        <v>256</v>
      </c>
      <c r="O116" s="8" t="s">
        <v>223</v>
      </c>
      <c r="P116" s="5">
        <v>3</v>
      </c>
      <c r="Q116" s="5"/>
      <c r="R116" s="5"/>
      <c r="S116" s="5"/>
      <c r="T116" s="5">
        <v>3</v>
      </c>
      <c r="U116" s="5">
        <v>4</v>
      </c>
      <c r="V116" s="5">
        <v>2</v>
      </c>
      <c r="W116" s="5">
        <v>2</v>
      </c>
      <c r="X116" s="16">
        <f>Lit_rev_final[[#This Row],[Foundationality_1_5]]*0.35+Lit_rev_final[[#This Row],[Topic_Fit_1_5]]*0.35+Lit_rev_final[[#This Row],[Outlet_Quality_1_5]]*0.2+(0.1*Lit_rev_final[[#This Row],[Bridge_Value_0_3]]/3*5)</f>
        <v>3.1833333333333331</v>
      </c>
      <c r="Y116" s="10" t="s">
        <v>566</v>
      </c>
      <c r="Z116" s="5" t="s">
        <v>156</v>
      </c>
      <c r="AA116" s="5" t="s">
        <v>46</v>
      </c>
      <c r="AB116" s="5" t="s">
        <v>46</v>
      </c>
      <c r="AC116" s="16" t="s">
        <v>785</v>
      </c>
      <c r="AJ116" s="2"/>
    </row>
    <row r="117" spans="1:36" ht="30" customHeight="1" x14ac:dyDescent="0.15">
      <c r="A117" s="5" t="s">
        <v>156</v>
      </c>
      <c r="B117" s="8" t="s">
        <v>786</v>
      </c>
      <c r="C117" s="8" t="s">
        <v>787</v>
      </c>
      <c r="D117" s="8" t="s">
        <v>788</v>
      </c>
      <c r="E117" s="8" t="s">
        <v>789</v>
      </c>
      <c r="F117" s="5">
        <v>2023</v>
      </c>
      <c r="G117" s="5">
        <v>472</v>
      </c>
      <c r="H117" s="5">
        <v>488</v>
      </c>
      <c r="I117" s="8" t="s">
        <v>790</v>
      </c>
      <c r="J117" s="13" t="s">
        <v>791</v>
      </c>
      <c r="K117" s="8" t="s">
        <v>232</v>
      </c>
      <c r="L117" s="5" t="s">
        <v>233</v>
      </c>
      <c r="M117" s="8" t="s">
        <v>234</v>
      </c>
      <c r="N117" s="8" t="s">
        <v>256</v>
      </c>
      <c r="O117" s="8" t="s">
        <v>57</v>
      </c>
      <c r="P117" s="5">
        <v>3</v>
      </c>
      <c r="Q117" s="5"/>
      <c r="R117" s="5"/>
      <c r="S117" s="5"/>
      <c r="T117" s="5">
        <v>3</v>
      </c>
      <c r="U117" s="5">
        <v>4</v>
      </c>
      <c r="V117" s="5">
        <v>2</v>
      </c>
      <c r="W117" s="5">
        <v>2</v>
      </c>
      <c r="X117" s="16">
        <f>Lit_rev_final[[#This Row],[Foundationality_1_5]]*0.35+Lit_rev_final[[#This Row],[Topic_Fit_1_5]]*0.35+Lit_rev_final[[#This Row],[Outlet_Quality_1_5]]*0.2+(0.1*Lit_rev_final[[#This Row],[Bridge_Value_0_3]]/3*5)</f>
        <v>3.1833333333333331</v>
      </c>
      <c r="Y117" s="10" t="s">
        <v>606</v>
      </c>
      <c r="Z117" s="5" t="s">
        <v>156</v>
      </c>
      <c r="AA117" s="5" t="s">
        <v>46</v>
      </c>
      <c r="AB117" s="5" t="s">
        <v>46</v>
      </c>
      <c r="AC117" s="16" t="s">
        <v>792</v>
      </c>
      <c r="AJ117" s="2"/>
    </row>
    <row r="118" spans="1:36" ht="30" customHeight="1" x14ac:dyDescent="0.15">
      <c r="A118" s="5" t="s">
        <v>156</v>
      </c>
      <c r="B118" s="8" t="s">
        <v>793</v>
      </c>
      <c r="C118" s="8" t="s">
        <v>794</v>
      </c>
      <c r="D118" s="8" t="s">
        <v>795</v>
      </c>
      <c r="E118" s="8" t="s">
        <v>300</v>
      </c>
      <c r="F118" s="5">
        <v>2025</v>
      </c>
      <c r="G118" s="5"/>
      <c r="H118" s="5"/>
      <c r="I118" s="8" t="s">
        <v>796</v>
      </c>
      <c r="J118" s="13" t="s">
        <v>797</v>
      </c>
      <c r="K118" s="8" t="s">
        <v>303</v>
      </c>
      <c r="L118" s="5" t="s">
        <v>233</v>
      </c>
      <c r="M118" s="8" t="s">
        <v>234</v>
      </c>
      <c r="N118" s="8" t="s">
        <v>256</v>
      </c>
      <c r="O118" s="8" t="s">
        <v>223</v>
      </c>
      <c r="P118" s="5">
        <v>3</v>
      </c>
      <c r="Q118" s="5"/>
      <c r="R118" s="5"/>
      <c r="S118" s="5"/>
      <c r="T118" s="5">
        <v>3</v>
      </c>
      <c r="U118" s="5">
        <v>4</v>
      </c>
      <c r="V118" s="5">
        <v>2</v>
      </c>
      <c r="W118" s="5">
        <v>2</v>
      </c>
      <c r="X118" s="16">
        <f>Lit_rev_final[[#This Row],[Foundationality_1_5]]*0.35+Lit_rev_final[[#This Row],[Topic_Fit_1_5]]*0.35+Lit_rev_final[[#This Row],[Outlet_Quality_1_5]]*0.2+(0.1*Lit_rev_final[[#This Row],[Bridge_Value_0_3]]/3*5)</f>
        <v>3.1833333333333331</v>
      </c>
      <c r="Y118" s="10" t="s">
        <v>566</v>
      </c>
      <c r="Z118" s="5" t="s">
        <v>156</v>
      </c>
      <c r="AA118" s="5" t="s">
        <v>46</v>
      </c>
      <c r="AB118" s="5" t="s">
        <v>46</v>
      </c>
      <c r="AC118" s="16" t="s">
        <v>798</v>
      </c>
      <c r="AJ118" s="2"/>
    </row>
    <row r="119" spans="1:36" ht="30" customHeight="1" x14ac:dyDescent="0.15">
      <c r="A119" s="5" t="s">
        <v>156</v>
      </c>
      <c r="B119" s="8" t="s">
        <v>799</v>
      </c>
      <c r="C119" s="8" t="s">
        <v>800</v>
      </c>
      <c r="D119" s="8" t="s">
        <v>801</v>
      </c>
      <c r="E119" s="8" t="s">
        <v>331</v>
      </c>
      <c r="F119" s="5">
        <v>2025</v>
      </c>
      <c r="G119" s="5"/>
      <c r="H119" s="5"/>
      <c r="I119" s="8" t="s">
        <v>802</v>
      </c>
      <c r="J119" s="13" t="s">
        <v>803</v>
      </c>
      <c r="K119" s="8" t="s">
        <v>232</v>
      </c>
      <c r="L119" s="5" t="s">
        <v>233</v>
      </c>
      <c r="M119" s="8" t="s">
        <v>234</v>
      </c>
      <c r="N119" s="8" t="s">
        <v>256</v>
      </c>
      <c r="O119" s="8" t="s">
        <v>223</v>
      </c>
      <c r="P119" s="5">
        <v>3</v>
      </c>
      <c r="Q119" s="5" t="s">
        <v>67</v>
      </c>
      <c r="R119" s="5" t="s">
        <v>113</v>
      </c>
      <c r="S119" s="5" t="s">
        <v>69</v>
      </c>
      <c r="T119" s="5">
        <v>3</v>
      </c>
      <c r="U119" s="5">
        <v>4</v>
      </c>
      <c r="V119" s="5">
        <v>2</v>
      </c>
      <c r="W119" s="5">
        <v>2</v>
      </c>
      <c r="X119" s="16">
        <f>Lit_rev_final[[#This Row],[Foundationality_1_5]]*0.35+Lit_rev_final[[#This Row],[Topic_Fit_1_5]]*0.35+Lit_rev_final[[#This Row],[Outlet_Quality_1_5]]*0.2+(0.1*Lit_rev_final[[#This Row],[Bridge_Value_0_3]]/3*5)</f>
        <v>3.1833333333333331</v>
      </c>
      <c r="Y119" s="10" t="s">
        <v>566</v>
      </c>
      <c r="Z119" s="5" t="s">
        <v>156</v>
      </c>
      <c r="AA119" s="5" t="s">
        <v>46</v>
      </c>
      <c r="AB119" s="5" t="s">
        <v>46</v>
      </c>
      <c r="AC119" s="16" t="s">
        <v>804</v>
      </c>
      <c r="AJ119" s="2"/>
    </row>
    <row r="120" spans="1:36" ht="30" customHeight="1" x14ac:dyDescent="0.15">
      <c r="A120" s="5" t="s">
        <v>156</v>
      </c>
      <c r="B120" s="8" t="s">
        <v>805</v>
      </c>
      <c r="C120" s="8" t="s">
        <v>806</v>
      </c>
      <c r="D120" s="8" t="s">
        <v>807</v>
      </c>
      <c r="E120" s="8" t="s">
        <v>389</v>
      </c>
      <c r="F120" s="5">
        <v>2024</v>
      </c>
      <c r="G120" s="5">
        <v>235</v>
      </c>
      <c r="H120" s="5">
        <v>249</v>
      </c>
      <c r="I120" s="8" t="s">
        <v>808</v>
      </c>
      <c r="J120" s="13" t="s">
        <v>809</v>
      </c>
      <c r="K120" s="8" t="s">
        <v>232</v>
      </c>
      <c r="L120" s="5" t="s">
        <v>233</v>
      </c>
      <c r="M120" s="8" t="s">
        <v>392</v>
      </c>
      <c r="N120" s="8" t="s">
        <v>256</v>
      </c>
      <c r="O120" s="8" t="s">
        <v>120</v>
      </c>
      <c r="P120" s="5">
        <v>3</v>
      </c>
      <c r="Q120" s="5"/>
      <c r="R120" s="5"/>
      <c r="S120" s="5"/>
      <c r="T120" s="5">
        <v>3</v>
      </c>
      <c r="U120" s="5">
        <v>4</v>
      </c>
      <c r="V120" s="5">
        <v>2</v>
      </c>
      <c r="W120" s="5">
        <v>2</v>
      </c>
      <c r="X120" s="16">
        <f>Lit_rev_final[[#This Row],[Foundationality_1_5]]*0.35+Lit_rev_final[[#This Row],[Topic_Fit_1_5]]*0.35+Lit_rev_final[[#This Row],[Outlet_Quality_1_5]]*0.2+(0.1*Lit_rev_final[[#This Row],[Bridge_Value_0_3]]/3*5)</f>
        <v>3.1833333333333331</v>
      </c>
      <c r="Y120" s="10" t="s">
        <v>457</v>
      </c>
      <c r="Z120" s="5" t="s">
        <v>156</v>
      </c>
      <c r="AA120" s="5" t="s">
        <v>46</v>
      </c>
      <c r="AB120" s="5" t="s">
        <v>46</v>
      </c>
      <c r="AC120" s="16" t="s">
        <v>810</v>
      </c>
      <c r="AJ120" s="2"/>
    </row>
    <row r="121" spans="1:36" ht="30" customHeight="1" x14ac:dyDescent="0.15">
      <c r="A121" s="5" t="s">
        <v>156</v>
      </c>
      <c r="B121" s="8" t="s">
        <v>811</v>
      </c>
      <c r="C121" s="8" t="s">
        <v>812</v>
      </c>
      <c r="D121" s="8" t="s">
        <v>364</v>
      </c>
      <c r="E121" s="8" t="s">
        <v>365</v>
      </c>
      <c r="F121" s="5">
        <v>2025</v>
      </c>
      <c r="G121" s="5"/>
      <c r="H121" s="5"/>
      <c r="I121" s="8"/>
      <c r="J121" s="13" t="s">
        <v>813</v>
      </c>
      <c r="K121" s="8" t="s">
        <v>303</v>
      </c>
      <c r="L121" s="5" t="s">
        <v>233</v>
      </c>
      <c r="M121" s="8" t="s">
        <v>367</v>
      </c>
      <c r="N121" s="8" t="s">
        <v>256</v>
      </c>
      <c r="O121" s="8" t="s">
        <v>120</v>
      </c>
      <c r="P121" s="5">
        <v>3</v>
      </c>
      <c r="Q121" s="5"/>
      <c r="R121" s="5" t="s">
        <v>113</v>
      </c>
      <c r="S121" s="5"/>
      <c r="T121" s="5">
        <v>3</v>
      </c>
      <c r="U121" s="5">
        <v>4</v>
      </c>
      <c r="V121" s="5">
        <v>2</v>
      </c>
      <c r="W121" s="5">
        <v>2</v>
      </c>
      <c r="X121" s="16">
        <f>Lit_rev_final[[#This Row],[Foundationality_1_5]]*0.35+Lit_rev_final[[#This Row],[Topic_Fit_1_5]]*0.35+Lit_rev_final[[#This Row],[Outlet_Quality_1_5]]*0.2+(0.1*Lit_rev_final[[#This Row],[Bridge_Value_0_3]]/3*5)</f>
        <v>3.1833333333333331</v>
      </c>
      <c r="Y121" s="10" t="s">
        <v>236</v>
      </c>
      <c r="Z121" s="5" t="s">
        <v>156</v>
      </c>
      <c r="AA121" s="5" t="s">
        <v>46</v>
      </c>
      <c r="AB121" s="5" t="s">
        <v>46</v>
      </c>
      <c r="AC121" s="16" t="s">
        <v>814</v>
      </c>
      <c r="AJ121" s="2"/>
    </row>
    <row r="122" spans="1:36" ht="30" customHeight="1" x14ac:dyDescent="0.15">
      <c r="A122" s="5" t="s">
        <v>156</v>
      </c>
      <c r="B122" s="8" t="s">
        <v>815</v>
      </c>
      <c r="C122" s="8" t="s">
        <v>816</v>
      </c>
      <c r="D122" s="8" t="s">
        <v>817</v>
      </c>
      <c r="E122" s="8" t="s">
        <v>818</v>
      </c>
      <c r="F122" s="5">
        <v>2023</v>
      </c>
      <c r="G122" s="5">
        <v>86</v>
      </c>
      <c r="H122" s="5">
        <v>91</v>
      </c>
      <c r="I122" s="8" t="s">
        <v>819</v>
      </c>
      <c r="J122" s="13" t="s">
        <v>820</v>
      </c>
      <c r="K122" s="8" t="s">
        <v>232</v>
      </c>
      <c r="L122" s="5" t="s">
        <v>233</v>
      </c>
      <c r="M122" s="8" t="s">
        <v>392</v>
      </c>
      <c r="N122" s="8" t="s">
        <v>256</v>
      </c>
      <c r="O122" s="8" t="s">
        <v>223</v>
      </c>
      <c r="P122" s="5">
        <v>3</v>
      </c>
      <c r="Q122" s="5"/>
      <c r="R122" s="5"/>
      <c r="S122" s="5"/>
      <c r="T122" s="5">
        <v>3</v>
      </c>
      <c r="U122" s="5">
        <v>4</v>
      </c>
      <c r="V122" s="5">
        <v>2</v>
      </c>
      <c r="W122" s="5">
        <v>2</v>
      </c>
      <c r="X122" s="16">
        <f>Lit_rev_final[[#This Row],[Foundationality_1_5]]*0.35+Lit_rev_final[[#This Row],[Topic_Fit_1_5]]*0.35+Lit_rev_final[[#This Row],[Outlet_Quality_1_5]]*0.2+(0.1*Lit_rev_final[[#This Row],[Bridge_Value_0_3]]/3*5)</f>
        <v>3.1833333333333331</v>
      </c>
      <c r="Y122" s="10" t="s">
        <v>626</v>
      </c>
      <c r="Z122" s="5" t="s">
        <v>156</v>
      </c>
      <c r="AA122" s="5" t="s">
        <v>46</v>
      </c>
      <c r="AB122" s="5" t="s">
        <v>46</v>
      </c>
      <c r="AC122" s="16" t="s">
        <v>821</v>
      </c>
      <c r="AJ122" s="2"/>
    </row>
    <row r="123" spans="1:36" ht="30" customHeight="1" x14ac:dyDescent="0.15">
      <c r="A123" s="5" t="s">
        <v>156</v>
      </c>
      <c r="B123" s="8" t="s">
        <v>822</v>
      </c>
      <c r="C123" s="8" t="s">
        <v>823</v>
      </c>
      <c r="D123" s="8" t="s">
        <v>824</v>
      </c>
      <c r="E123" s="8" t="s">
        <v>825</v>
      </c>
      <c r="F123" s="5">
        <v>2023</v>
      </c>
      <c r="G123" s="5"/>
      <c r="H123" s="5"/>
      <c r="I123" s="8" t="s">
        <v>826</v>
      </c>
      <c r="J123" s="13" t="s">
        <v>827</v>
      </c>
      <c r="K123" s="8" t="s">
        <v>303</v>
      </c>
      <c r="L123" s="5" t="s">
        <v>233</v>
      </c>
      <c r="M123" s="8" t="s">
        <v>234</v>
      </c>
      <c r="N123" s="8" t="s">
        <v>256</v>
      </c>
      <c r="O123" s="8" t="s">
        <v>223</v>
      </c>
      <c r="P123" s="5">
        <v>3</v>
      </c>
      <c r="Q123" s="5"/>
      <c r="R123" s="5"/>
      <c r="S123" s="5"/>
      <c r="T123" s="5">
        <v>3</v>
      </c>
      <c r="U123" s="5">
        <v>4</v>
      </c>
      <c r="V123" s="5">
        <v>2</v>
      </c>
      <c r="W123" s="5">
        <v>2</v>
      </c>
      <c r="X123" s="16">
        <f>Lit_rev_final[[#This Row],[Foundationality_1_5]]*0.35+Lit_rev_final[[#This Row],[Topic_Fit_1_5]]*0.35+Lit_rev_final[[#This Row],[Outlet_Quality_1_5]]*0.2+(0.1*Lit_rev_final[[#This Row],[Bridge_Value_0_3]]/3*5)</f>
        <v>3.1833333333333331</v>
      </c>
      <c r="Y123" s="10" t="s">
        <v>606</v>
      </c>
      <c r="Z123" s="5" t="s">
        <v>156</v>
      </c>
      <c r="AA123" s="5" t="s">
        <v>46</v>
      </c>
      <c r="AB123" s="5" t="s">
        <v>46</v>
      </c>
      <c r="AC123" s="16" t="s">
        <v>828</v>
      </c>
      <c r="AJ123" s="2"/>
    </row>
    <row r="124" spans="1:36" ht="30" customHeight="1" x14ac:dyDescent="0.15">
      <c r="A124" s="5" t="s">
        <v>156</v>
      </c>
      <c r="B124" s="8" t="s">
        <v>829</v>
      </c>
      <c r="C124" s="8" t="s">
        <v>830</v>
      </c>
      <c r="D124" s="8" t="s">
        <v>831</v>
      </c>
      <c r="E124" s="8" t="s">
        <v>331</v>
      </c>
      <c r="F124" s="5">
        <v>2025</v>
      </c>
      <c r="G124" s="5"/>
      <c r="H124" s="5"/>
      <c r="I124" s="8" t="s">
        <v>832</v>
      </c>
      <c r="J124" s="13" t="s">
        <v>833</v>
      </c>
      <c r="K124" s="8" t="s">
        <v>232</v>
      </c>
      <c r="L124" s="5" t="s">
        <v>233</v>
      </c>
      <c r="M124" s="8" t="s">
        <v>234</v>
      </c>
      <c r="N124" s="8" t="s">
        <v>256</v>
      </c>
      <c r="O124" s="8" t="s">
        <v>120</v>
      </c>
      <c r="P124" s="5">
        <v>3</v>
      </c>
      <c r="Q124" s="5"/>
      <c r="R124" s="5"/>
      <c r="S124" s="5"/>
      <c r="T124" s="5">
        <v>3</v>
      </c>
      <c r="U124" s="5">
        <v>4</v>
      </c>
      <c r="V124" s="5">
        <v>2</v>
      </c>
      <c r="W124" s="5">
        <v>2</v>
      </c>
      <c r="X124" s="16">
        <f>Lit_rev_final[[#This Row],[Foundationality_1_5]]*0.35+Lit_rev_final[[#This Row],[Topic_Fit_1_5]]*0.35+Lit_rev_final[[#This Row],[Outlet_Quality_1_5]]*0.2+(0.1*Lit_rev_final[[#This Row],[Bridge_Value_0_3]]/3*5)</f>
        <v>3.1833333333333331</v>
      </c>
      <c r="Y124" s="10" t="s">
        <v>399</v>
      </c>
      <c r="Z124" s="5" t="s">
        <v>156</v>
      </c>
      <c r="AA124" s="5" t="s">
        <v>46</v>
      </c>
      <c r="AB124" s="5" t="s">
        <v>46</v>
      </c>
      <c r="AC124" s="16" t="s">
        <v>834</v>
      </c>
      <c r="AJ124" s="2"/>
    </row>
    <row r="125" spans="1:36" ht="30" customHeight="1" x14ac:dyDescent="0.15">
      <c r="A125" s="5" t="s">
        <v>156</v>
      </c>
      <c r="B125" s="8" t="s">
        <v>835</v>
      </c>
      <c r="C125" s="8" t="s">
        <v>836</v>
      </c>
      <c r="D125" s="8" t="s">
        <v>597</v>
      </c>
      <c r="E125" s="8" t="s">
        <v>152</v>
      </c>
      <c r="F125" s="5">
        <v>2025</v>
      </c>
      <c r="G125" s="5"/>
      <c r="H125" s="5"/>
      <c r="I125" s="8" t="s">
        <v>837</v>
      </c>
      <c r="J125" s="13" t="s">
        <v>838</v>
      </c>
      <c r="K125" s="8" t="s">
        <v>232</v>
      </c>
      <c r="L125" s="5" t="s">
        <v>233</v>
      </c>
      <c r="M125" s="8" t="s">
        <v>234</v>
      </c>
      <c r="N125" s="8" t="s">
        <v>256</v>
      </c>
      <c r="O125" s="8" t="s">
        <v>120</v>
      </c>
      <c r="P125" s="5">
        <v>3</v>
      </c>
      <c r="Q125" s="5"/>
      <c r="R125" s="5"/>
      <c r="S125" s="5"/>
      <c r="T125" s="5">
        <v>3</v>
      </c>
      <c r="U125" s="5">
        <v>4</v>
      </c>
      <c r="V125" s="5">
        <v>2</v>
      </c>
      <c r="W125" s="5">
        <v>1</v>
      </c>
      <c r="X125" s="16">
        <f>Lit_rev_final[[#This Row],[Foundationality_1_5]]*0.35+Lit_rev_final[[#This Row],[Topic_Fit_1_5]]*0.35+Lit_rev_final[[#This Row],[Outlet_Quality_1_5]]*0.2+(0.1*Lit_rev_final[[#This Row],[Bridge_Value_0_3]]/3*5)</f>
        <v>3.0166666666666662</v>
      </c>
      <c r="Y125" s="10" t="s">
        <v>839</v>
      </c>
      <c r="Z125" s="5" t="s">
        <v>156</v>
      </c>
      <c r="AA125" s="5" t="s">
        <v>46</v>
      </c>
      <c r="AB125" s="5" t="s">
        <v>46</v>
      </c>
      <c r="AC125" s="16" t="s">
        <v>840</v>
      </c>
      <c r="AJ125" s="2"/>
    </row>
    <row r="126" spans="1:36" ht="30" customHeight="1" x14ac:dyDescent="0.15">
      <c r="A126" s="5" t="s">
        <v>156</v>
      </c>
      <c r="B126" s="8" t="s">
        <v>841</v>
      </c>
      <c r="C126" s="8" t="s">
        <v>842</v>
      </c>
      <c r="D126" s="8" t="s">
        <v>623</v>
      </c>
      <c r="E126" s="8" t="s">
        <v>404</v>
      </c>
      <c r="F126" s="5">
        <v>2024</v>
      </c>
      <c r="G126" s="5"/>
      <c r="H126" s="5"/>
      <c r="I126" s="8" t="s">
        <v>843</v>
      </c>
      <c r="J126" s="13" t="s">
        <v>844</v>
      </c>
      <c r="K126" s="8" t="s">
        <v>303</v>
      </c>
      <c r="L126" s="5" t="s">
        <v>233</v>
      </c>
      <c r="M126" s="8" t="s">
        <v>367</v>
      </c>
      <c r="N126" s="8" t="s">
        <v>256</v>
      </c>
      <c r="O126" s="8" t="s">
        <v>120</v>
      </c>
      <c r="P126" s="5">
        <v>3</v>
      </c>
      <c r="Q126" s="5"/>
      <c r="R126" s="5"/>
      <c r="S126" s="5"/>
      <c r="T126" s="5">
        <v>3</v>
      </c>
      <c r="U126" s="5">
        <v>4</v>
      </c>
      <c r="V126" s="5">
        <v>2</v>
      </c>
      <c r="W126" s="5">
        <v>1</v>
      </c>
      <c r="X126" s="16">
        <f>Lit_rev_final[[#This Row],[Foundationality_1_5]]*0.35+Lit_rev_final[[#This Row],[Topic_Fit_1_5]]*0.35+Lit_rev_final[[#This Row],[Outlet_Quality_1_5]]*0.2+(0.1*Lit_rev_final[[#This Row],[Bridge_Value_0_3]]/3*5)</f>
        <v>3.0166666666666662</v>
      </c>
      <c r="Y126" s="10" t="s">
        <v>845</v>
      </c>
      <c r="Z126" s="5" t="s">
        <v>156</v>
      </c>
      <c r="AA126" s="5" t="s">
        <v>46</v>
      </c>
      <c r="AB126" s="5" t="s">
        <v>46</v>
      </c>
      <c r="AC126" s="16" t="s">
        <v>846</v>
      </c>
      <c r="AJ126" s="2"/>
    </row>
    <row r="127" spans="1:36" ht="30" customHeight="1" x14ac:dyDescent="0.15">
      <c r="A127" s="5" t="s">
        <v>156</v>
      </c>
      <c r="B127" s="8" t="s">
        <v>847</v>
      </c>
      <c r="C127" s="8" t="s">
        <v>848</v>
      </c>
      <c r="D127" s="8" t="s">
        <v>403</v>
      </c>
      <c r="E127" s="8" t="s">
        <v>404</v>
      </c>
      <c r="F127" s="5">
        <v>2025</v>
      </c>
      <c r="G127" s="5"/>
      <c r="H127" s="5"/>
      <c r="I127" s="8" t="s">
        <v>849</v>
      </c>
      <c r="J127" s="13" t="s">
        <v>850</v>
      </c>
      <c r="K127" s="8" t="s">
        <v>303</v>
      </c>
      <c r="L127" s="5" t="s">
        <v>233</v>
      </c>
      <c r="M127" s="8" t="s">
        <v>367</v>
      </c>
      <c r="N127" s="8" t="s">
        <v>256</v>
      </c>
      <c r="O127" s="8" t="s">
        <v>120</v>
      </c>
      <c r="P127" s="5">
        <v>3</v>
      </c>
      <c r="Q127" s="5"/>
      <c r="R127" s="5"/>
      <c r="S127" s="5"/>
      <c r="T127" s="5">
        <v>3</v>
      </c>
      <c r="U127" s="5">
        <v>4</v>
      </c>
      <c r="V127" s="5">
        <v>2</v>
      </c>
      <c r="W127" s="5">
        <v>1</v>
      </c>
      <c r="X127" s="16">
        <f>Lit_rev_final[[#This Row],[Foundationality_1_5]]*0.35+Lit_rev_final[[#This Row],[Topic_Fit_1_5]]*0.35+Lit_rev_final[[#This Row],[Outlet_Quality_1_5]]*0.2+(0.1*Lit_rev_final[[#This Row],[Bridge_Value_0_3]]/3*5)</f>
        <v>3.0166666666666662</v>
      </c>
      <c r="Y127" s="10" t="s">
        <v>851</v>
      </c>
      <c r="Z127" s="5" t="s">
        <v>156</v>
      </c>
      <c r="AA127" s="5" t="s">
        <v>46</v>
      </c>
      <c r="AB127" s="5" t="s">
        <v>46</v>
      </c>
      <c r="AC127" s="16" t="s">
        <v>852</v>
      </c>
      <c r="AJ127" s="2"/>
    </row>
    <row r="128" spans="1:36" ht="30" customHeight="1" x14ac:dyDescent="0.15">
      <c r="A128" s="5" t="s">
        <v>156</v>
      </c>
      <c r="B128" s="8" t="s">
        <v>853</v>
      </c>
      <c r="C128" s="8" t="s">
        <v>854</v>
      </c>
      <c r="D128" s="8" t="s">
        <v>855</v>
      </c>
      <c r="E128" s="8" t="s">
        <v>856</v>
      </c>
      <c r="F128" s="5">
        <v>2025</v>
      </c>
      <c r="G128" s="5"/>
      <c r="H128" s="5"/>
      <c r="I128" s="8" t="s">
        <v>857</v>
      </c>
      <c r="J128" s="13" t="s">
        <v>858</v>
      </c>
      <c r="K128" s="8" t="s">
        <v>232</v>
      </c>
      <c r="L128" s="5" t="s">
        <v>233</v>
      </c>
      <c r="M128" s="8" t="s">
        <v>234</v>
      </c>
      <c r="N128" s="8" t="s">
        <v>256</v>
      </c>
      <c r="O128" s="8" t="s">
        <v>120</v>
      </c>
      <c r="P128" s="5">
        <v>3</v>
      </c>
      <c r="Q128" s="5"/>
      <c r="R128" s="5"/>
      <c r="S128" s="5"/>
      <c r="T128" s="5">
        <v>3</v>
      </c>
      <c r="U128" s="5">
        <v>4</v>
      </c>
      <c r="V128" s="5">
        <v>2</v>
      </c>
      <c r="W128" s="5">
        <v>1</v>
      </c>
      <c r="X128" s="16">
        <f>Lit_rev_final[[#This Row],[Foundationality_1_5]]*0.35+Lit_rev_final[[#This Row],[Topic_Fit_1_5]]*0.35+Lit_rev_final[[#This Row],[Outlet_Quality_1_5]]*0.2+(0.1*Lit_rev_final[[#This Row],[Bridge_Value_0_3]]/3*5)</f>
        <v>3.0166666666666662</v>
      </c>
      <c r="Y128" s="10" t="s">
        <v>581</v>
      </c>
      <c r="Z128" s="5" t="s">
        <v>156</v>
      </c>
      <c r="AA128" s="5" t="s">
        <v>46</v>
      </c>
      <c r="AB128" s="5" t="s">
        <v>46</v>
      </c>
      <c r="AC128" s="16" t="s">
        <v>859</v>
      </c>
      <c r="AJ128" s="2"/>
    </row>
    <row r="129" spans="1:36" ht="30" customHeight="1" x14ac:dyDescent="0.15">
      <c r="A129" s="5" t="s">
        <v>156</v>
      </c>
      <c r="B129" s="8" t="s">
        <v>860</v>
      </c>
      <c r="C129" s="8" t="s">
        <v>861</v>
      </c>
      <c r="D129" s="8" t="s">
        <v>862</v>
      </c>
      <c r="E129" s="8" t="s">
        <v>374</v>
      </c>
      <c r="F129" s="5">
        <v>2024</v>
      </c>
      <c r="G129" s="5"/>
      <c r="H129" s="5"/>
      <c r="I129" s="8" t="s">
        <v>863</v>
      </c>
      <c r="J129" s="13" t="s">
        <v>864</v>
      </c>
      <c r="K129" s="8" t="s">
        <v>377</v>
      </c>
      <c r="L129" s="5" t="s">
        <v>233</v>
      </c>
      <c r="M129" s="8" t="s">
        <v>46</v>
      </c>
      <c r="N129" s="8" t="s">
        <v>256</v>
      </c>
      <c r="O129" s="8" t="s">
        <v>120</v>
      </c>
      <c r="P129" s="5">
        <v>3</v>
      </c>
      <c r="Q129" s="5"/>
      <c r="R129" s="5"/>
      <c r="S129" s="5"/>
      <c r="T129" s="5">
        <v>3</v>
      </c>
      <c r="U129" s="5">
        <v>4</v>
      </c>
      <c r="V129" s="5">
        <v>2</v>
      </c>
      <c r="W129" s="5">
        <v>1</v>
      </c>
      <c r="X129" s="16">
        <f>Lit_rev_final[[#This Row],[Foundationality_1_5]]*0.35+Lit_rev_final[[#This Row],[Topic_Fit_1_5]]*0.35+Lit_rev_final[[#This Row],[Outlet_Quality_1_5]]*0.2+(0.1*Lit_rev_final[[#This Row],[Bridge_Value_0_3]]/3*5)</f>
        <v>3.0166666666666662</v>
      </c>
      <c r="Y129" s="10" t="s">
        <v>581</v>
      </c>
      <c r="Z129" s="5" t="s">
        <v>156</v>
      </c>
      <c r="AA129" s="5" t="s">
        <v>46</v>
      </c>
      <c r="AB129" s="5" t="s">
        <v>46</v>
      </c>
      <c r="AC129" s="16" t="s">
        <v>865</v>
      </c>
      <c r="AJ129" s="2"/>
    </row>
    <row r="130" spans="1:36" ht="30" customHeight="1" x14ac:dyDescent="0.15">
      <c r="A130" s="5" t="s">
        <v>156</v>
      </c>
      <c r="B130" s="8" t="s">
        <v>866</v>
      </c>
      <c r="C130" s="8" t="s">
        <v>867</v>
      </c>
      <c r="D130" s="8" t="s">
        <v>868</v>
      </c>
      <c r="E130" s="8" t="s">
        <v>869</v>
      </c>
      <c r="F130" s="5">
        <v>2025</v>
      </c>
      <c r="G130" s="5"/>
      <c r="H130" s="5"/>
      <c r="I130" s="8" t="s">
        <v>870</v>
      </c>
      <c r="J130" s="13" t="s">
        <v>871</v>
      </c>
      <c r="K130" s="8" t="s">
        <v>303</v>
      </c>
      <c r="L130" s="5" t="s">
        <v>233</v>
      </c>
      <c r="M130" s="8" t="s">
        <v>234</v>
      </c>
      <c r="N130" s="8" t="s">
        <v>256</v>
      </c>
      <c r="O130" s="8" t="s">
        <v>120</v>
      </c>
      <c r="P130" s="5">
        <v>3</v>
      </c>
      <c r="Q130" s="5"/>
      <c r="R130" s="5"/>
      <c r="S130" s="5"/>
      <c r="T130" s="5">
        <v>3</v>
      </c>
      <c r="U130" s="5">
        <v>4</v>
      </c>
      <c r="V130" s="5">
        <v>2</v>
      </c>
      <c r="W130" s="5">
        <v>1</v>
      </c>
      <c r="X130" s="16">
        <f>Lit_rev_final[[#This Row],[Foundationality_1_5]]*0.35+Lit_rev_final[[#This Row],[Topic_Fit_1_5]]*0.35+Lit_rev_final[[#This Row],[Outlet_Quality_1_5]]*0.2+(0.1*Lit_rev_final[[#This Row],[Bridge_Value_0_3]]/3*5)</f>
        <v>3.0166666666666662</v>
      </c>
      <c r="Y130" s="10" t="s">
        <v>581</v>
      </c>
      <c r="Z130" s="5" t="s">
        <v>156</v>
      </c>
      <c r="AA130" s="5" t="s">
        <v>46</v>
      </c>
      <c r="AB130" s="5" t="s">
        <v>46</v>
      </c>
      <c r="AC130" s="16" t="s">
        <v>872</v>
      </c>
      <c r="AJ130" s="2"/>
    </row>
    <row r="131" spans="1:36" ht="30" customHeight="1" x14ac:dyDescent="0.15">
      <c r="A131" s="5" t="s">
        <v>156</v>
      </c>
      <c r="B131" s="8" t="s">
        <v>873</v>
      </c>
      <c r="C131" s="8" t="s">
        <v>874</v>
      </c>
      <c r="D131" s="8" t="s">
        <v>403</v>
      </c>
      <c r="E131" s="8" t="s">
        <v>404</v>
      </c>
      <c r="F131" s="5">
        <v>2025</v>
      </c>
      <c r="G131" s="5"/>
      <c r="H131" s="5"/>
      <c r="I131" s="8" t="s">
        <v>875</v>
      </c>
      <c r="J131" s="13" t="s">
        <v>876</v>
      </c>
      <c r="K131" s="8" t="s">
        <v>303</v>
      </c>
      <c r="L131" s="5" t="s">
        <v>233</v>
      </c>
      <c r="M131" s="8" t="s">
        <v>367</v>
      </c>
      <c r="N131" s="8" t="s">
        <v>256</v>
      </c>
      <c r="O131" s="8" t="s">
        <v>120</v>
      </c>
      <c r="P131" s="5">
        <v>3</v>
      </c>
      <c r="Q131" s="5"/>
      <c r="R131" s="5"/>
      <c r="S131" s="5"/>
      <c r="T131" s="5">
        <v>3</v>
      </c>
      <c r="U131" s="5">
        <v>4</v>
      </c>
      <c r="V131" s="5">
        <v>2</v>
      </c>
      <c r="W131" s="5">
        <v>1</v>
      </c>
      <c r="X131" s="16">
        <f>Lit_rev_final[[#This Row],[Foundationality_1_5]]*0.35+Lit_rev_final[[#This Row],[Topic_Fit_1_5]]*0.35+Lit_rev_final[[#This Row],[Outlet_Quality_1_5]]*0.2+(0.1*Lit_rev_final[[#This Row],[Bridge_Value_0_3]]/3*5)</f>
        <v>3.0166666666666662</v>
      </c>
      <c r="Y131" s="10" t="s">
        <v>877</v>
      </c>
      <c r="Z131" s="5" t="s">
        <v>156</v>
      </c>
      <c r="AA131" s="5" t="s">
        <v>46</v>
      </c>
      <c r="AB131" s="5" t="s">
        <v>46</v>
      </c>
      <c r="AC131" s="16" t="s">
        <v>878</v>
      </c>
      <c r="AJ131" s="2"/>
    </row>
    <row r="132" spans="1:36" ht="30" customHeight="1" x14ac:dyDescent="0.15">
      <c r="A132" s="5" t="s">
        <v>156</v>
      </c>
      <c r="B132" s="8" t="s">
        <v>879</v>
      </c>
      <c r="C132" s="8" t="s">
        <v>880</v>
      </c>
      <c r="D132" s="8" t="s">
        <v>881</v>
      </c>
      <c r="E132" s="8" t="s">
        <v>389</v>
      </c>
      <c r="F132" s="5">
        <v>2024</v>
      </c>
      <c r="G132" s="5">
        <v>179</v>
      </c>
      <c r="H132" s="5">
        <v>193</v>
      </c>
      <c r="I132" s="8" t="s">
        <v>882</v>
      </c>
      <c r="J132" s="13" t="s">
        <v>883</v>
      </c>
      <c r="K132" s="8" t="s">
        <v>232</v>
      </c>
      <c r="L132" s="5" t="s">
        <v>233</v>
      </c>
      <c r="M132" s="8" t="s">
        <v>392</v>
      </c>
      <c r="N132" s="8" t="s">
        <v>256</v>
      </c>
      <c r="O132" s="8" t="s">
        <v>120</v>
      </c>
      <c r="P132" s="5">
        <v>3</v>
      </c>
      <c r="Q132" s="5"/>
      <c r="R132" s="5"/>
      <c r="S132" s="5"/>
      <c r="T132" s="5">
        <v>3</v>
      </c>
      <c r="U132" s="5">
        <v>4</v>
      </c>
      <c r="V132" s="5">
        <v>2</v>
      </c>
      <c r="W132" s="5">
        <v>1</v>
      </c>
      <c r="X132" s="16">
        <f>Lit_rev_final[[#This Row],[Foundationality_1_5]]*0.35+Lit_rev_final[[#This Row],[Topic_Fit_1_5]]*0.35+Lit_rev_final[[#This Row],[Outlet_Quality_1_5]]*0.2+(0.1*Lit_rev_final[[#This Row],[Bridge_Value_0_3]]/3*5)</f>
        <v>3.0166666666666662</v>
      </c>
      <c r="Y132" s="10" t="s">
        <v>839</v>
      </c>
      <c r="Z132" s="5" t="s">
        <v>156</v>
      </c>
      <c r="AA132" s="5" t="s">
        <v>46</v>
      </c>
      <c r="AB132" s="5" t="s">
        <v>46</v>
      </c>
      <c r="AC132" s="16" t="s">
        <v>884</v>
      </c>
      <c r="AJ132" s="2"/>
    </row>
    <row r="133" spans="1:36" ht="30" customHeight="1" x14ac:dyDescent="0.15">
      <c r="A133" s="5" t="s">
        <v>156</v>
      </c>
      <c r="B133" s="8" t="s">
        <v>885</v>
      </c>
      <c r="C133" s="8" t="s">
        <v>886</v>
      </c>
      <c r="D133" s="8" t="s">
        <v>887</v>
      </c>
      <c r="E133" s="8" t="s">
        <v>374</v>
      </c>
      <c r="F133" s="5">
        <v>2024</v>
      </c>
      <c r="G133" s="5">
        <v>188</v>
      </c>
      <c r="H133" s="5">
        <v>191</v>
      </c>
      <c r="I133" s="8" t="s">
        <v>888</v>
      </c>
      <c r="J133" s="13" t="s">
        <v>889</v>
      </c>
      <c r="K133" s="8" t="s">
        <v>232</v>
      </c>
      <c r="L133" s="5" t="s">
        <v>233</v>
      </c>
      <c r="M133" s="8" t="s">
        <v>392</v>
      </c>
      <c r="N133" s="8" t="s">
        <v>256</v>
      </c>
      <c r="O133" s="8" t="s">
        <v>120</v>
      </c>
      <c r="P133" s="5">
        <v>3</v>
      </c>
      <c r="Q133" s="5"/>
      <c r="R133" s="5"/>
      <c r="S133" s="5"/>
      <c r="T133" s="5">
        <v>3</v>
      </c>
      <c r="U133" s="5">
        <v>4</v>
      </c>
      <c r="V133" s="5">
        <v>2</v>
      </c>
      <c r="W133" s="5">
        <v>1</v>
      </c>
      <c r="X133" s="16">
        <f>Lit_rev_final[[#This Row],[Foundationality_1_5]]*0.35+Lit_rev_final[[#This Row],[Topic_Fit_1_5]]*0.35+Lit_rev_final[[#This Row],[Outlet_Quality_1_5]]*0.2+(0.1*Lit_rev_final[[#This Row],[Bridge_Value_0_3]]/3*5)</f>
        <v>3.0166666666666662</v>
      </c>
      <c r="Y133" s="10" t="s">
        <v>851</v>
      </c>
      <c r="Z133" s="5" t="s">
        <v>156</v>
      </c>
      <c r="AA133" s="5" t="s">
        <v>46</v>
      </c>
      <c r="AB133" s="5" t="s">
        <v>46</v>
      </c>
      <c r="AC133" s="16" t="s">
        <v>890</v>
      </c>
      <c r="AJ133" s="2"/>
    </row>
    <row r="134" spans="1:36" ht="30" customHeight="1" x14ac:dyDescent="0.15">
      <c r="A134" s="5" t="s">
        <v>156</v>
      </c>
      <c r="B134" s="8" t="s">
        <v>891</v>
      </c>
      <c r="C134" s="8" t="s">
        <v>892</v>
      </c>
      <c r="D134" s="8" t="s">
        <v>893</v>
      </c>
      <c r="E134" s="8" t="s">
        <v>374</v>
      </c>
      <c r="F134" s="5">
        <v>2025</v>
      </c>
      <c r="G134" s="5"/>
      <c r="H134" s="5"/>
      <c r="I134" s="8" t="s">
        <v>894</v>
      </c>
      <c r="J134" s="13" t="s">
        <v>895</v>
      </c>
      <c r="K134" s="8" t="s">
        <v>377</v>
      </c>
      <c r="L134" s="5" t="s">
        <v>233</v>
      </c>
      <c r="M134" s="8" t="s">
        <v>46</v>
      </c>
      <c r="N134" s="8" t="s">
        <v>256</v>
      </c>
      <c r="O134" s="8" t="s">
        <v>120</v>
      </c>
      <c r="P134" s="5">
        <v>3</v>
      </c>
      <c r="Q134" s="5"/>
      <c r="R134" s="5"/>
      <c r="S134" s="5"/>
      <c r="T134" s="5">
        <v>3</v>
      </c>
      <c r="U134" s="5">
        <v>4</v>
      </c>
      <c r="V134" s="5">
        <v>2</v>
      </c>
      <c r="W134" s="5">
        <v>1</v>
      </c>
      <c r="X134" s="16">
        <f>Lit_rev_final[[#This Row],[Foundationality_1_5]]*0.35+Lit_rev_final[[#This Row],[Topic_Fit_1_5]]*0.35+Lit_rev_final[[#This Row],[Outlet_Quality_1_5]]*0.2+(0.1*Lit_rev_final[[#This Row],[Bridge_Value_0_3]]/3*5)</f>
        <v>3.0166666666666662</v>
      </c>
      <c r="Y134" s="10" t="s">
        <v>851</v>
      </c>
      <c r="Z134" s="5" t="s">
        <v>156</v>
      </c>
      <c r="AA134" s="5" t="s">
        <v>46</v>
      </c>
      <c r="AB134" s="5" t="s">
        <v>46</v>
      </c>
      <c r="AC134" s="16" t="s">
        <v>186</v>
      </c>
      <c r="AJ134" s="2"/>
    </row>
    <row r="135" spans="1:36" ht="30" customHeight="1" x14ac:dyDescent="0.15">
      <c r="A135" s="5" t="s">
        <v>156</v>
      </c>
      <c r="B135" s="8" t="s">
        <v>896</v>
      </c>
      <c r="C135" s="8" t="s">
        <v>897</v>
      </c>
      <c r="D135" s="8" t="s">
        <v>898</v>
      </c>
      <c r="E135" s="8" t="s">
        <v>411</v>
      </c>
      <c r="F135" s="5">
        <v>2025</v>
      </c>
      <c r="G135" s="5"/>
      <c r="H135" s="5"/>
      <c r="I135" s="8" t="s">
        <v>899</v>
      </c>
      <c r="J135" s="13" t="s">
        <v>900</v>
      </c>
      <c r="K135" s="8" t="s">
        <v>303</v>
      </c>
      <c r="L135" s="5" t="s">
        <v>233</v>
      </c>
      <c r="M135" s="8" t="s">
        <v>367</v>
      </c>
      <c r="N135" s="8" t="s">
        <v>256</v>
      </c>
      <c r="O135" s="8" t="s">
        <v>120</v>
      </c>
      <c r="P135" s="5">
        <v>3</v>
      </c>
      <c r="Q135" s="5"/>
      <c r="R135" s="5"/>
      <c r="S135" s="5"/>
      <c r="T135" s="5">
        <v>3</v>
      </c>
      <c r="U135" s="5">
        <v>4</v>
      </c>
      <c r="V135" s="5">
        <v>2</v>
      </c>
      <c r="W135" s="5">
        <v>1</v>
      </c>
      <c r="X135" s="16">
        <f>Lit_rev_final[[#This Row],[Foundationality_1_5]]*0.35+Lit_rev_final[[#This Row],[Topic_Fit_1_5]]*0.35+Lit_rev_final[[#This Row],[Outlet_Quality_1_5]]*0.2+(0.1*Lit_rev_final[[#This Row],[Bridge_Value_0_3]]/3*5)</f>
        <v>3.0166666666666662</v>
      </c>
      <c r="Y135" s="10" t="s">
        <v>581</v>
      </c>
      <c r="Z135" s="5" t="s">
        <v>156</v>
      </c>
      <c r="AA135" s="5" t="s">
        <v>46</v>
      </c>
      <c r="AB135" s="5" t="s">
        <v>46</v>
      </c>
      <c r="AC135" s="16" t="s">
        <v>901</v>
      </c>
      <c r="AJ135" s="2"/>
    </row>
    <row r="136" spans="1:36" ht="30" customHeight="1" x14ac:dyDescent="0.15">
      <c r="A136" s="5" t="s">
        <v>156</v>
      </c>
      <c r="B136" s="8" t="s">
        <v>902</v>
      </c>
      <c r="C136" s="8" t="s">
        <v>903</v>
      </c>
      <c r="D136" s="8" t="s">
        <v>904</v>
      </c>
      <c r="E136" s="8"/>
      <c r="F136" s="5">
        <v>2026</v>
      </c>
      <c r="G136" s="5"/>
      <c r="H136" s="5"/>
      <c r="I136" s="8" t="s">
        <v>905</v>
      </c>
      <c r="J136" s="13" t="s">
        <v>906</v>
      </c>
      <c r="K136" s="8" t="s">
        <v>580</v>
      </c>
      <c r="L136" s="5" t="s">
        <v>233</v>
      </c>
      <c r="M136" s="8" t="s">
        <v>46</v>
      </c>
      <c r="N136" s="8" t="s">
        <v>256</v>
      </c>
      <c r="O136" s="8" t="s">
        <v>120</v>
      </c>
      <c r="P136" s="5">
        <v>3</v>
      </c>
      <c r="Q136" s="5"/>
      <c r="R136" s="5"/>
      <c r="S136" s="5"/>
      <c r="T136" s="5">
        <v>3</v>
      </c>
      <c r="U136" s="5">
        <v>4</v>
      </c>
      <c r="V136" s="5">
        <v>2</v>
      </c>
      <c r="W136" s="5">
        <v>1</v>
      </c>
      <c r="X136" s="16">
        <f>Lit_rev_final[[#This Row],[Foundationality_1_5]]*0.35+Lit_rev_final[[#This Row],[Topic_Fit_1_5]]*0.35+Lit_rev_final[[#This Row],[Outlet_Quality_1_5]]*0.2+(0.1*Lit_rev_final[[#This Row],[Bridge_Value_0_3]]/3*5)</f>
        <v>3.0166666666666662</v>
      </c>
      <c r="Y136" s="10" t="s">
        <v>851</v>
      </c>
      <c r="Z136" s="5" t="s">
        <v>156</v>
      </c>
      <c r="AA136" s="5" t="s">
        <v>46</v>
      </c>
      <c r="AB136" s="5" t="s">
        <v>46</v>
      </c>
      <c r="AC136" s="16" t="s">
        <v>907</v>
      </c>
      <c r="AJ136" s="2"/>
    </row>
    <row r="137" spans="1:36" ht="30" customHeight="1" x14ac:dyDescent="0.15">
      <c r="A137" s="5" t="s">
        <v>156</v>
      </c>
      <c r="B137" s="8" t="s">
        <v>908</v>
      </c>
      <c r="C137" s="8" t="s">
        <v>909</v>
      </c>
      <c r="D137" s="8" t="s">
        <v>910</v>
      </c>
      <c r="E137" s="8"/>
      <c r="F137" s="5">
        <v>2025</v>
      </c>
      <c r="G137" s="5"/>
      <c r="H137" s="5"/>
      <c r="I137" s="8"/>
      <c r="J137" s="13" t="s">
        <v>911</v>
      </c>
      <c r="K137" s="8" t="s">
        <v>912</v>
      </c>
      <c r="L137" s="5" t="s">
        <v>233</v>
      </c>
      <c r="M137" s="8" t="s">
        <v>46</v>
      </c>
      <c r="N137" s="8" t="s">
        <v>256</v>
      </c>
      <c r="O137" s="8" t="s">
        <v>120</v>
      </c>
      <c r="P137" s="5">
        <v>3</v>
      </c>
      <c r="Q137" s="5"/>
      <c r="R137" s="5"/>
      <c r="S137" s="5"/>
      <c r="T137" s="5">
        <v>3</v>
      </c>
      <c r="U137" s="5">
        <v>4</v>
      </c>
      <c r="V137" s="5">
        <v>2</v>
      </c>
      <c r="W137" s="5">
        <v>1</v>
      </c>
      <c r="X137" s="16">
        <f>Lit_rev_final[[#This Row],[Foundationality_1_5]]*0.35+Lit_rev_final[[#This Row],[Topic_Fit_1_5]]*0.35+Lit_rev_final[[#This Row],[Outlet_Quality_1_5]]*0.2+(0.1*Lit_rev_final[[#This Row],[Bridge_Value_0_3]]/3*5)</f>
        <v>3.0166666666666662</v>
      </c>
      <c r="Y137" s="10" t="s">
        <v>304</v>
      </c>
      <c r="Z137" s="5" t="s">
        <v>156</v>
      </c>
      <c r="AA137" s="5" t="s">
        <v>46</v>
      </c>
      <c r="AB137" s="5" t="s">
        <v>46</v>
      </c>
      <c r="AC137" s="16" t="s">
        <v>913</v>
      </c>
      <c r="AJ137" s="2"/>
    </row>
    <row r="138" spans="1:36" ht="30" customHeight="1" x14ac:dyDescent="0.15">
      <c r="A138" s="5" t="s">
        <v>156</v>
      </c>
      <c r="B138" s="8" t="s">
        <v>914</v>
      </c>
      <c r="C138" s="8" t="s">
        <v>915</v>
      </c>
      <c r="D138" s="8" t="s">
        <v>916</v>
      </c>
      <c r="E138" s="8" t="s">
        <v>917</v>
      </c>
      <c r="F138" s="5">
        <v>2023</v>
      </c>
      <c r="G138" s="5"/>
      <c r="H138" s="5"/>
      <c r="I138" s="8" t="s">
        <v>918</v>
      </c>
      <c r="J138" s="13" t="s">
        <v>919</v>
      </c>
      <c r="K138" s="8" t="s">
        <v>303</v>
      </c>
      <c r="L138" s="5" t="s">
        <v>233</v>
      </c>
      <c r="M138" s="8" t="s">
        <v>367</v>
      </c>
      <c r="N138" s="8" t="s">
        <v>256</v>
      </c>
      <c r="O138" s="8" t="s">
        <v>120</v>
      </c>
      <c r="P138" s="5">
        <v>3</v>
      </c>
      <c r="Q138" s="5"/>
      <c r="R138" s="5"/>
      <c r="S138" s="5"/>
      <c r="T138" s="5">
        <v>3</v>
      </c>
      <c r="U138" s="5">
        <v>4</v>
      </c>
      <c r="V138" s="5">
        <v>2</v>
      </c>
      <c r="W138" s="5">
        <v>1</v>
      </c>
      <c r="X138" s="16">
        <f>Lit_rev_final[[#This Row],[Foundationality_1_5]]*0.35+Lit_rev_final[[#This Row],[Topic_Fit_1_5]]*0.35+Lit_rev_final[[#This Row],[Outlet_Quality_1_5]]*0.2+(0.1*Lit_rev_final[[#This Row],[Bridge_Value_0_3]]/3*5)</f>
        <v>3.0166666666666662</v>
      </c>
      <c r="Y138" s="10" t="s">
        <v>581</v>
      </c>
      <c r="Z138" s="5" t="s">
        <v>156</v>
      </c>
      <c r="AA138" s="5" t="s">
        <v>46</v>
      </c>
      <c r="AB138" s="5" t="s">
        <v>46</v>
      </c>
      <c r="AC138" s="16" t="s">
        <v>920</v>
      </c>
      <c r="AJ138" s="2"/>
    </row>
    <row r="139" spans="1:36" ht="30" customHeight="1" x14ac:dyDescent="0.15">
      <c r="A139" s="5" t="s">
        <v>156</v>
      </c>
      <c r="B139" s="8" t="s">
        <v>921</v>
      </c>
      <c r="C139" s="8" t="s">
        <v>922</v>
      </c>
      <c r="D139" s="8" t="s">
        <v>403</v>
      </c>
      <c r="E139" s="8"/>
      <c r="F139" s="5">
        <v>2023</v>
      </c>
      <c r="G139" s="5"/>
      <c r="H139" s="5"/>
      <c r="I139" s="8" t="s">
        <v>923</v>
      </c>
      <c r="J139" s="13" t="s">
        <v>924</v>
      </c>
      <c r="K139" s="8" t="s">
        <v>580</v>
      </c>
      <c r="L139" s="5" t="s">
        <v>233</v>
      </c>
      <c r="M139" s="8" t="s">
        <v>46</v>
      </c>
      <c r="N139" s="8" t="s">
        <v>256</v>
      </c>
      <c r="O139" s="8" t="s">
        <v>120</v>
      </c>
      <c r="P139" s="5">
        <v>3</v>
      </c>
      <c r="Q139" s="5"/>
      <c r="R139" s="5"/>
      <c r="S139" s="5"/>
      <c r="T139" s="5">
        <v>3</v>
      </c>
      <c r="U139" s="5">
        <v>4</v>
      </c>
      <c r="V139" s="5">
        <v>2</v>
      </c>
      <c r="W139" s="5">
        <v>1</v>
      </c>
      <c r="X139" s="16">
        <f>Lit_rev_final[[#This Row],[Foundationality_1_5]]*0.35+Lit_rev_final[[#This Row],[Topic_Fit_1_5]]*0.35+Lit_rev_final[[#This Row],[Outlet_Quality_1_5]]*0.2+(0.1*Lit_rev_final[[#This Row],[Bridge_Value_0_3]]/3*5)</f>
        <v>3.0166666666666662</v>
      </c>
      <c r="Y139" s="10" t="s">
        <v>839</v>
      </c>
      <c r="Z139" s="5" t="s">
        <v>156</v>
      </c>
      <c r="AA139" s="5" t="s">
        <v>46</v>
      </c>
      <c r="AB139" s="5" t="s">
        <v>46</v>
      </c>
      <c r="AC139" s="16" t="s">
        <v>925</v>
      </c>
      <c r="AJ139" s="2"/>
    </row>
    <row r="140" spans="1:36" ht="30" customHeight="1" x14ac:dyDescent="0.15">
      <c r="A140" s="5" t="s">
        <v>156</v>
      </c>
      <c r="B140" s="8" t="s">
        <v>926</v>
      </c>
      <c r="C140" s="8" t="s">
        <v>927</v>
      </c>
      <c r="D140" s="8" t="s">
        <v>410</v>
      </c>
      <c r="E140" s="8" t="s">
        <v>411</v>
      </c>
      <c r="F140" s="5">
        <v>2026</v>
      </c>
      <c r="G140" s="5"/>
      <c r="H140" s="5"/>
      <c r="I140" s="8" t="s">
        <v>928</v>
      </c>
      <c r="J140" s="13" t="s">
        <v>929</v>
      </c>
      <c r="K140" s="8" t="s">
        <v>303</v>
      </c>
      <c r="L140" s="5" t="s">
        <v>233</v>
      </c>
      <c r="M140" s="8" t="s">
        <v>367</v>
      </c>
      <c r="N140" s="8" t="s">
        <v>256</v>
      </c>
      <c r="O140" s="8" t="s">
        <v>120</v>
      </c>
      <c r="P140" s="5">
        <v>3</v>
      </c>
      <c r="Q140" s="5"/>
      <c r="R140" s="5"/>
      <c r="S140" s="5"/>
      <c r="T140" s="5">
        <v>3</v>
      </c>
      <c r="U140" s="5">
        <v>4</v>
      </c>
      <c r="V140" s="5">
        <v>2</v>
      </c>
      <c r="W140" s="5">
        <v>1</v>
      </c>
      <c r="X140" s="16">
        <f>Lit_rev_final[[#This Row],[Foundationality_1_5]]*0.35+Lit_rev_final[[#This Row],[Topic_Fit_1_5]]*0.35+Lit_rev_final[[#This Row],[Outlet_Quality_1_5]]*0.2+(0.1*Lit_rev_final[[#This Row],[Bridge_Value_0_3]]/3*5)</f>
        <v>3.0166666666666662</v>
      </c>
      <c r="Y140" s="10" t="s">
        <v>304</v>
      </c>
      <c r="Z140" s="5" t="s">
        <v>156</v>
      </c>
      <c r="AA140" s="5" t="s">
        <v>46</v>
      </c>
      <c r="AB140" s="5" t="s">
        <v>46</v>
      </c>
      <c r="AC140" s="16" t="s">
        <v>930</v>
      </c>
      <c r="AJ140" s="2"/>
    </row>
    <row r="141" spans="1:36" ht="30" customHeight="1" x14ac:dyDescent="0.15">
      <c r="A141" s="5" t="s">
        <v>156</v>
      </c>
      <c r="B141" s="8" t="s">
        <v>931</v>
      </c>
      <c r="C141" s="8" t="s">
        <v>932</v>
      </c>
      <c r="D141" s="8" t="s">
        <v>680</v>
      </c>
      <c r="E141" s="8" t="s">
        <v>374</v>
      </c>
      <c r="F141" s="5">
        <v>2025</v>
      </c>
      <c r="G141" s="5"/>
      <c r="H141" s="5"/>
      <c r="I141" s="8" t="s">
        <v>933</v>
      </c>
      <c r="J141" s="13" t="s">
        <v>934</v>
      </c>
      <c r="K141" s="8" t="s">
        <v>377</v>
      </c>
      <c r="L141" s="5" t="s">
        <v>233</v>
      </c>
      <c r="M141" s="8" t="s">
        <v>46</v>
      </c>
      <c r="N141" s="8" t="s">
        <v>256</v>
      </c>
      <c r="O141" s="8" t="s">
        <v>120</v>
      </c>
      <c r="P141" s="5">
        <v>3</v>
      </c>
      <c r="Q141" s="5" t="s">
        <v>67</v>
      </c>
      <c r="R141" s="5"/>
      <c r="S141" s="5" t="s">
        <v>69</v>
      </c>
      <c r="T141" s="5">
        <v>3</v>
      </c>
      <c r="U141" s="5">
        <v>4</v>
      </c>
      <c r="V141" s="5">
        <v>2</v>
      </c>
      <c r="W141" s="5">
        <v>1</v>
      </c>
      <c r="X141" s="16">
        <f>Lit_rev_final[[#This Row],[Foundationality_1_5]]*0.35+Lit_rev_final[[#This Row],[Topic_Fit_1_5]]*0.35+Lit_rev_final[[#This Row],[Outlet_Quality_1_5]]*0.2+(0.1*Lit_rev_final[[#This Row],[Bridge_Value_0_3]]/3*5)</f>
        <v>3.0166666666666662</v>
      </c>
      <c r="Y141" s="10" t="s">
        <v>851</v>
      </c>
      <c r="Z141" s="5" t="s">
        <v>156</v>
      </c>
      <c r="AA141" s="5" t="s">
        <v>46</v>
      </c>
      <c r="AB141" s="5" t="s">
        <v>46</v>
      </c>
      <c r="AC141" s="16" t="s">
        <v>935</v>
      </c>
      <c r="AJ141" s="2"/>
    </row>
    <row r="142" spans="1:36" ht="30" customHeight="1" x14ac:dyDescent="0.15">
      <c r="A142" s="5" t="s">
        <v>156</v>
      </c>
      <c r="B142" s="8" t="s">
        <v>936</v>
      </c>
      <c r="C142" s="8" t="s">
        <v>937</v>
      </c>
      <c r="D142" s="8" t="s">
        <v>938</v>
      </c>
      <c r="E142" s="8" t="s">
        <v>374</v>
      </c>
      <c r="F142" s="5">
        <v>2025</v>
      </c>
      <c r="G142" s="5"/>
      <c r="H142" s="5"/>
      <c r="I142" s="8" t="s">
        <v>939</v>
      </c>
      <c r="J142" s="13" t="s">
        <v>940</v>
      </c>
      <c r="K142" s="8" t="s">
        <v>377</v>
      </c>
      <c r="L142" s="5" t="s">
        <v>233</v>
      </c>
      <c r="M142" s="8" t="s">
        <v>46</v>
      </c>
      <c r="N142" s="8" t="s">
        <v>256</v>
      </c>
      <c r="O142" s="8" t="s">
        <v>120</v>
      </c>
      <c r="P142" s="5">
        <v>3</v>
      </c>
      <c r="Q142" s="5"/>
      <c r="R142" s="5"/>
      <c r="S142" s="5"/>
      <c r="T142" s="5">
        <v>3</v>
      </c>
      <c r="U142" s="5">
        <v>4</v>
      </c>
      <c r="V142" s="5">
        <v>2</v>
      </c>
      <c r="W142" s="5">
        <v>1</v>
      </c>
      <c r="X142" s="16">
        <f>Lit_rev_final[[#This Row],[Foundationality_1_5]]*0.35+Lit_rev_final[[#This Row],[Topic_Fit_1_5]]*0.35+Lit_rev_final[[#This Row],[Outlet_Quality_1_5]]*0.2+(0.1*Lit_rev_final[[#This Row],[Bridge_Value_0_3]]/3*5)</f>
        <v>3.0166666666666662</v>
      </c>
      <c r="Y142" s="10" t="s">
        <v>581</v>
      </c>
      <c r="Z142" s="5" t="s">
        <v>156</v>
      </c>
      <c r="AA142" s="5" t="s">
        <v>46</v>
      </c>
      <c r="AB142" s="5" t="s">
        <v>46</v>
      </c>
      <c r="AC142" s="16" t="s">
        <v>941</v>
      </c>
      <c r="AJ142" s="2"/>
    </row>
    <row r="143" spans="1:36" ht="30" customHeight="1" x14ac:dyDescent="0.15">
      <c r="A143" s="5" t="s">
        <v>156</v>
      </c>
      <c r="B143" s="8" t="s">
        <v>942</v>
      </c>
      <c r="C143" s="8" t="s">
        <v>943</v>
      </c>
      <c r="D143" s="8" t="s">
        <v>623</v>
      </c>
      <c r="E143" s="8" t="s">
        <v>404</v>
      </c>
      <c r="F143" s="5">
        <v>2025</v>
      </c>
      <c r="G143" s="5"/>
      <c r="H143" s="5"/>
      <c r="I143" s="8" t="s">
        <v>944</v>
      </c>
      <c r="J143" s="13" t="s">
        <v>945</v>
      </c>
      <c r="K143" s="8" t="s">
        <v>303</v>
      </c>
      <c r="L143" s="5" t="s">
        <v>233</v>
      </c>
      <c r="M143" s="8" t="s">
        <v>367</v>
      </c>
      <c r="N143" s="8" t="s">
        <v>256</v>
      </c>
      <c r="O143" s="8" t="s">
        <v>120</v>
      </c>
      <c r="P143" s="5">
        <v>3</v>
      </c>
      <c r="Q143" s="5"/>
      <c r="R143" s="5"/>
      <c r="S143" s="5"/>
      <c r="T143" s="5">
        <v>3</v>
      </c>
      <c r="U143" s="5">
        <v>4</v>
      </c>
      <c r="V143" s="5">
        <v>2</v>
      </c>
      <c r="W143" s="5">
        <v>1</v>
      </c>
      <c r="X143" s="16">
        <f>Lit_rev_final[[#This Row],[Foundationality_1_5]]*0.35+Lit_rev_final[[#This Row],[Topic_Fit_1_5]]*0.35+Lit_rev_final[[#This Row],[Outlet_Quality_1_5]]*0.2+(0.1*Lit_rev_final[[#This Row],[Bridge_Value_0_3]]/3*5)</f>
        <v>3.0166666666666662</v>
      </c>
      <c r="Y143" s="10" t="s">
        <v>581</v>
      </c>
      <c r="Z143" s="5" t="s">
        <v>156</v>
      </c>
      <c r="AA143" s="5" t="s">
        <v>46</v>
      </c>
      <c r="AB143" s="5" t="s">
        <v>46</v>
      </c>
      <c r="AC143" s="16" t="s">
        <v>946</v>
      </c>
      <c r="AJ143" s="2"/>
    </row>
    <row r="144" spans="1:36" ht="30" customHeight="1" x14ac:dyDescent="0.15">
      <c r="A144" s="5" t="s">
        <v>156</v>
      </c>
      <c r="B144" s="8" t="s">
        <v>947</v>
      </c>
      <c r="C144" s="8" t="s">
        <v>948</v>
      </c>
      <c r="D144" s="8" t="s">
        <v>623</v>
      </c>
      <c r="E144" s="8"/>
      <c r="F144" s="5">
        <v>2024</v>
      </c>
      <c r="G144" s="5"/>
      <c r="H144" s="5"/>
      <c r="I144" s="8" t="s">
        <v>949</v>
      </c>
      <c r="J144" s="13" t="s">
        <v>950</v>
      </c>
      <c r="K144" s="8" t="s">
        <v>580</v>
      </c>
      <c r="L144" s="5" t="s">
        <v>233</v>
      </c>
      <c r="M144" s="8" t="s">
        <v>46</v>
      </c>
      <c r="N144" s="8" t="s">
        <v>256</v>
      </c>
      <c r="O144" s="8" t="s">
        <v>120</v>
      </c>
      <c r="P144" s="5">
        <v>3</v>
      </c>
      <c r="Q144" s="5"/>
      <c r="R144" s="5"/>
      <c r="S144" s="5"/>
      <c r="T144" s="5">
        <v>3</v>
      </c>
      <c r="U144" s="5">
        <v>4</v>
      </c>
      <c r="V144" s="5">
        <v>2</v>
      </c>
      <c r="W144" s="5">
        <v>1</v>
      </c>
      <c r="X144" s="16">
        <f>Lit_rev_final[[#This Row],[Foundationality_1_5]]*0.35+Lit_rev_final[[#This Row],[Topic_Fit_1_5]]*0.35+Lit_rev_final[[#This Row],[Outlet_Quality_1_5]]*0.2+(0.1*Lit_rev_final[[#This Row],[Bridge_Value_0_3]]/3*5)</f>
        <v>3.0166666666666662</v>
      </c>
      <c r="Y144" s="10" t="s">
        <v>839</v>
      </c>
      <c r="Z144" s="5" t="s">
        <v>156</v>
      </c>
      <c r="AA144" s="5" t="s">
        <v>46</v>
      </c>
      <c r="AB144" s="5" t="s">
        <v>46</v>
      </c>
      <c r="AC144" s="16" t="s">
        <v>951</v>
      </c>
      <c r="AJ144" s="2"/>
    </row>
    <row r="145" spans="1:36" ht="30" customHeight="1" x14ac:dyDescent="0.15">
      <c r="A145" s="5" t="s">
        <v>156</v>
      </c>
      <c r="B145" s="8" t="s">
        <v>952</v>
      </c>
      <c r="C145" s="8" t="s">
        <v>953</v>
      </c>
      <c r="D145" s="8" t="s">
        <v>403</v>
      </c>
      <c r="E145" s="8" t="s">
        <v>404</v>
      </c>
      <c r="F145" s="5">
        <v>2025</v>
      </c>
      <c r="G145" s="5"/>
      <c r="H145" s="5"/>
      <c r="I145" s="8" t="s">
        <v>954</v>
      </c>
      <c r="J145" s="13" t="s">
        <v>955</v>
      </c>
      <c r="K145" s="8" t="s">
        <v>303</v>
      </c>
      <c r="L145" s="5" t="s">
        <v>233</v>
      </c>
      <c r="M145" s="8" t="s">
        <v>367</v>
      </c>
      <c r="N145" s="8" t="s">
        <v>256</v>
      </c>
      <c r="O145" s="8" t="s">
        <v>120</v>
      </c>
      <c r="P145" s="5">
        <v>3</v>
      </c>
      <c r="Q145" s="5"/>
      <c r="R145" s="5"/>
      <c r="S145" s="5"/>
      <c r="T145" s="5">
        <v>3</v>
      </c>
      <c r="U145" s="5">
        <v>4</v>
      </c>
      <c r="V145" s="5">
        <v>2</v>
      </c>
      <c r="W145" s="5">
        <v>1</v>
      </c>
      <c r="X145" s="16">
        <f>Lit_rev_final[[#This Row],[Foundationality_1_5]]*0.35+Lit_rev_final[[#This Row],[Topic_Fit_1_5]]*0.35+Lit_rev_final[[#This Row],[Outlet_Quality_1_5]]*0.2+(0.1*Lit_rev_final[[#This Row],[Bridge_Value_0_3]]/3*5)</f>
        <v>3.0166666666666662</v>
      </c>
      <c r="Y145" s="10" t="s">
        <v>851</v>
      </c>
      <c r="Z145" s="5" t="s">
        <v>156</v>
      </c>
      <c r="AA145" s="5" t="s">
        <v>46</v>
      </c>
      <c r="AB145" s="5" t="s">
        <v>46</v>
      </c>
      <c r="AC145" s="16" t="s">
        <v>956</v>
      </c>
      <c r="AJ145" s="2"/>
    </row>
    <row r="146" spans="1:36" ht="30" customHeight="1" x14ac:dyDescent="0.15">
      <c r="A146" s="5" t="s">
        <v>156</v>
      </c>
      <c r="B146" s="8" t="s">
        <v>957</v>
      </c>
      <c r="C146" s="8" t="s">
        <v>958</v>
      </c>
      <c r="D146" s="8" t="s">
        <v>403</v>
      </c>
      <c r="E146" s="8" t="s">
        <v>404</v>
      </c>
      <c r="F146" s="5">
        <v>2025</v>
      </c>
      <c r="G146" s="5"/>
      <c r="H146" s="5"/>
      <c r="I146" s="8" t="s">
        <v>959</v>
      </c>
      <c r="J146" s="13" t="s">
        <v>960</v>
      </c>
      <c r="K146" s="8" t="s">
        <v>303</v>
      </c>
      <c r="L146" s="5" t="s">
        <v>233</v>
      </c>
      <c r="M146" s="8" t="s">
        <v>367</v>
      </c>
      <c r="N146" s="8" t="s">
        <v>256</v>
      </c>
      <c r="O146" s="8" t="s">
        <v>120</v>
      </c>
      <c r="P146" s="5">
        <v>3</v>
      </c>
      <c r="Q146" s="5"/>
      <c r="R146" s="5"/>
      <c r="S146" s="5"/>
      <c r="T146" s="5">
        <v>3</v>
      </c>
      <c r="U146" s="5">
        <v>4</v>
      </c>
      <c r="V146" s="5">
        <v>2</v>
      </c>
      <c r="W146" s="5">
        <v>1</v>
      </c>
      <c r="X146" s="16">
        <f>Lit_rev_final[[#This Row],[Foundationality_1_5]]*0.35+Lit_rev_final[[#This Row],[Topic_Fit_1_5]]*0.35+Lit_rev_final[[#This Row],[Outlet_Quality_1_5]]*0.2+(0.1*Lit_rev_final[[#This Row],[Bridge_Value_0_3]]/3*5)</f>
        <v>3.0166666666666662</v>
      </c>
      <c r="Y146" s="10" t="s">
        <v>581</v>
      </c>
      <c r="Z146" s="5" t="s">
        <v>156</v>
      </c>
      <c r="AA146" s="5" t="s">
        <v>46</v>
      </c>
      <c r="AB146" s="5" t="s">
        <v>46</v>
      </c>
      <c r="AC146" s="16" t="s">
        <v>961</v>
      </c>
      <c r="AJ146" s="2"/>
    </row>
    <row r="147" spans="1:36" ht="30" customHeight="1" x14ac:dyDescent="0.15">
      <c r="A147" s="5" t="s">
        <v>156</v>
      </c>
      <c r="B147" s="8" t="s">
        <v>962</v>
      </c>
      <c r="C147" s="8" t="s">
        <v>963</v>
      </c>
      <c r="D147" s="8" t="s">
        <v>964</v>
      </c>
      <c r="E147" s="8" t="s">
        <v>965</v>
      </c>
      <c r="F147" s="5">
        <v>2025</v>
      </c>
      <c r="G147" s="5"/>
      <c r="H147" s="5"/>
      <c r="I147" s="8" t="s">
        <v>966</v>
      </c>
      <c r="J147" s="13" t="s">
        <v>967</v>
      </c>
      <c r="K147" s="8" t="s">
        <v>303</v>
      </c>
      <c r="L147" s="5" t="s">
        <v>233</v>
      </c>
      <c r="M147" s="8" t="s">
        <v>367</v>
      </c>
      <c r="N147" s="8" t="s">
        <v>256</v>
      </c>
      <c r="O147" s="8" t="s">
        <v>120</v>
      </c>
      <c r="P147" s="5">
        <v>3</v>
      </c>
      <c r="Q147" s="5"/>
      <c r="R147" s="5"/>
      <c r="S147" s="5"/>
      <c r="T147" s="5">
        <v>3</v>
      </c>
      <c r="U147" s="5">
        <v>4</v>
      </c>
      <c r="V147" s="5">
        <v>2</v>
      </c>
      <c r="W147" s="5">
        <v>1</v>
      </c>
      <c r="X147" s="16">
        <f>Lit_rev_final[[#This Row],[Foundationality_1_5]]*0.35+Lit_rev_final[[#This Row],[Topic_Fit_1_5]]*0.35+Lit_rev_final[[#This Row],[Outlet_Quality_1_5]]*0.2+(0.1*Lit_rev_final[[#This Row],[Bridge_Value_0_3]]/3*5)</f>
        <v>3.0166666666666662</v>
      </c>
      <c r="Y147" s="10" t="s">
        <v>877</v>
      </c>
      <c r="Z147" s="5" t="s">
        <v>156</v>
      </c>
      <c r="AA147" s="5" t="s">
        <v>46</v>
      </c>
      <c r="AB147" s="5" t="s">
        <v>46</v>
      </c>
      <c r="AC147" s="16" t="s">
        <v>968</v>
      </c>
      <c r="AJ147" s="2"/>
    </row>
    <row r="148" spans="1:36" ht="30" customHeight="1" x14ac:dyDescent="0.15">
      <c r="A148" s="5" t="s">
        <v>156</v>
      </c>
      <c r="B148" s="8" t="s">
        <v>969</v>
      </c>
      <c r="C148" s="8" t="s">
        <v>970</v>
      </c>
      <c r="D148" s="8" t="s">
        <v>916</v>
      </c>
      <c r="E148" s="8" t="s">
        <v>917</v>
      </c>
      <c r="F148" s="5">
        <v>2024</v>
      </c>
      <c r="G148" s="5"/>
      <c r="H148" s="5"/>
      <c r="I148" s="8" t="s">
        <v>971</v>
      </c>
      <c r="J148" s="13" t="s">
        <v>972</v>
      </c>
      <c r="K148" s="8" t="s">
        <v>303</v>
      </c>
      <c r="L148" s="5" t="s">
        <v>233</v>
      </c>
      <c r="M148" s="8" t="s">
        <v>367</v>
      </c>
      <c r="N148" s="8" t="s">
        <v>256</v>
      </c>
      <c r="O148" s="8" t="s">
        <v>120</v>
      </c>
      <c r="P148" s="5">
        <v>3</v>
      </c>
      <c r="Q148" s="5"/>
      <c r="R148" s="5"/>
      <c r="S148" s="5"/>
      <c r="T148" s="5">
        <v>3</v>
      </c>
      <c r="U148" s="5">
        <v>4</v>
      </c>
      <c r="V148" s="5">
        <v>2</v>
      </c>
      <c r="W148" s="5">
        <v>1</v>
      </c>
      <c r="X148" s="16">
        <f>Lit_rev_final[[#This Row],[Foundationality_1_5]]*0.35+Lit_rev_final[[#This Row],[Topic_Fit_1_5]]*0.35+Lit_rev_final[[#This Row],[Outlet_Quality_1_5]]*0.2+(0.1*Lit_rev_final[[#This Row],[Bridge_Value_0_3]]/3*5)</f>
        <v>3.0166666666666662</v>
      </c>
      <c r="Y148" s="10" t="s">
        <v>851</v>
      </c>
      <c r="Z148" s="5" t="s">
        <v>156</v>
      </c>
      <c r="AA148" s="5" t="s">
        <v>46</v>
      </c>
      <c r="AB148" s="5" t="s">
        <v>46</v>
      </c>
      <c r="AC148" s="16" t="s">
        <v>973</v>
      </c>
      <c r="AJ148" s="2"/>
    </row>
    <row r="149" spans="1:36" ht="30" customHeight="1" x14ac:dyDescent="0.15">
      <c r="A149" s="5" t="s">
        <v>156</v>
      </c>
      <c r="B149" s="8" t="s">
        <v>974</v>
      </c>
      <c r="C149" s="8" t="s">
        <v>975</v>
      </c>
      <c r="D149" s="8" t="s">
        <v>976</v>
      </c>
      <c r="E149" s="8" t="s">
        <v>977</v>
      </c>
      <c r="F149" s="5">
        <v>2025</v>
      </c>
      <c r="G149" s="5"/>
      <c r="H149" s="5"/>
      <c r="I149" s="8" t="s">
        <v>978</v>
      </c>
      <c r="J149" s="13" t="s">
        <v>979</v>
      </c>
      <c r="K149" s="8" t="s">
        <v>303</v>
      </c>
      <c r="L149" s="5" t="s">
        <v>233</v>
      </c>
      <c r="M149" s="8" t="s">
        <v>234</v>
      </c>
      <c r="N149" s="8" t="s">
        <v>256</v>
      </c>
      <c r="O149" s="8" t="s">
        <v>120</v>
      </c>
      <c r="P149" s="5">
        <v>3</v>
      </c>
      <c r="Q149" s="5"/>
      <c r="R149" s="5"/>
      <c r="S149" s="5"/>
      <c r="T149" s="5">
        <v>3</v>
      </c>
      <c r="U149" s="5">
        <v>4</v>
      </c>
      <c r="V149" s="5">
        <v>2</v>
      </c>
      <c r="W149" s="5">
        <v>1</v>
      </c>
      <c r="X149" s="16">
        <f>Lit_rev_final[[#This Row],[Foundationality_1_5]]*0.35+Lit_rev_final[[#This Row],[Topic_Fit_1_5]]*0.35+Lit_rev_final[[#This Row],[Outlet_Quality_1_5]]*0.2+(0.1*Lit_rev_final[[#This Row],[Bridge_Value_0_3]]/3*5)</f>
        <v>3.0166666666666662</v>
      </c>
      <c r="Y149" s="10" t="s">
        <v>581</v>
      </c>
      <c r="Z149" s="5" t="s">
        <v>156</v>
      </c>
      <c r="AA149" s="5" t="s">
        <v>46</v>
      </c>
      <c r="AB149" s="5" t="s">
        <v>46</v>
      </c>
      <c r="AC149" s="16" t="s">
        <v>980</v>
      </c>
      <c r="AJ149" s="2"/>
    </row>
    <row r="150" spans="1:36" ht="30" customHeight="1" x14ac:dyDescent="0.15">
      <c r="A150" s="5" t="s">
        <v>156</v>
      </c>
      <c r="B150" s="8" t="s">
        <v>981</v>
      </c>
      <c r="C150" s="8" t="s">
        <v>982</v>
      </c>
      <c r="D150" s="8" t="s">
        <v>983</v>
      </c>
      <c r="E150" s="8" t="s">
        <v>374</v>
      </c>
      <c r="F150" s="5">
        <v>2023</v>
      </c>
      <c r="G150" s="5"/>
      <c r="H150" s="5"/>
      <c r="I150" s="8" t="s">
        <v>984</v>
      </c>
      <c r="J150" s="13" t="s">
        <v>985</v>
      </c>
      <c r="K150" s="8" t="s">
        <v>377</v>
      </c>
      <c r="L150" s="5" t="s">
        <v>233</v>
      </c>
      <c r="M150" s="8" t="s">
        <v>46</v>
      </c>
      <c r="N150" s="8" t="s">
        <v>256</v>
      </c>
      <c r="O150" s="8" t="s">
        <v>120</v>
      </c>
      <c r="P150" s="5">
        <v>3</v>
      </c>
      <c r="Q150" s="5"/>
      <c r="R150" s="5"/>
      <c r="S150" s="5"/>
      <c r="T150" s="5">
        <v>3</v>
      </c>
      <c r="U150" s="5">
        <v>4</v>
      </c>
      <c r="V150" s="5">
        <v>2</v>
      </c>
      <c r="W150" s="5">
        <v>1</v>
      </c>
      <c r="X150" s="16">
        <f>Lit_rev_final[[#This Row],[Foundationality_1_5]]*0.35+Lit_rev_final[[#This Row],[Topic_Fit_1_5]]*0.35+Lit_rev_final[[#This Row],[Outlet_Quality_1_5]]*0.2+(0.1*Lit_rev_final[[#This Row],[Bridge_Value_0_3]]/3*5)</f>
        <v>3.0166666666666662</v>
      </c>
      <c r="Y150" s="10" t="s">
        <v>581</v>
      </c>
      <c r="Z150" s="5" t="s">
        <v>156</v>
      </c>
      <c r="AA150" s="5" t="s">
        <v>46</v>
      </c>
      <c r="AB150" s="5" t="s">
        <v>46</v>
      </c>
      <c r="AC150" s="16" t="s">
        <v>986</v>
      </c>
      <c r="AJ150" s="2"/>
    </row>
    <row r="151" spans="1:36" ht="30" customHeight="1" x14ac:dyDescent="0.15">
      <c r="A151" s="5" t="s">
        <v>156</v>
      </c>
      <c r="B151" s="8" t="s">
        <v>987</v>
      </c>
      <c r="C151" s="8" t="s">
        <v>988</v>
      </c>
      <c r="D151" s="8" t="s">
        <v>989</v>
      </c>
      <c r="E151" s="8" t="s">
        <v>374</v>
      </c>
      <c r="F151" s="5">
        <v>2025</v>
      </c>
      <c r="G151" s="5"/>
      <c r="H151" s="5"/>
      <c r="I151" s="8" t="s">
        <v>990</v>
      </c>
      <c r="J151" s="13" t="s">
        <v>991</v>
      </c>
      <c r="K151" s="8" t="s">
        <v>377</v>
      </c>
      <c r="L151" s="5" t="s">
        <v>233</v>
      </c>
      <c r="M151" s="8" t="s">
        <v>46</v>
      </c>
      <c r="N151" s="8" t="s">
        <v>256</v>
      </c>
      <c r="O151" s="8" t="s">
        <v>120</v>
      </c>
      <c r="P151" s="5">
        <v>3</v>
      </c>
      <c r="Q151" s="5"/>
      <c r="R151" s="5"/>
      <c r="S151" s="5"/>
      <c r="T151" s="5">
        <v>3</v>
      </c>
      <c r="U151" s="5">
        <v>4</v>
      </c>
      <c r="V151" s="5">
        <v>2</v>
      </c>
      <c r="W151" s="5">
        <v>1</v>
      </c>
      <c r="X151" s="16">
        <f>Lit_rev_final[[#This Row],[Foundationality_1_5]]*0.35+Lit_rev_final[[#This Row],[Topic_Fit_1_5]]*0.35+Lit_rev_final[[#This Row],[Outlet_Quality_1_5]]*0.2+(0.1*Lit_rev_final[[#This Row],[Bridge_Value_0_3]]/3*5)</f>
        <v>3.0166666666666662</v>
      </c>
      <c r="Y151" s="10" t="s">
        <v>581</v>
      </c>
      <c r="Z151" s="5" t="s">
        <v>156</v>
      </c>
      <c r="AA151" s="5" t="s">
        <v>46</v>
      </c>
      <c r="AB151" s="5" t="s">
        <v>46</v>
      </c>
      <c r="AC151" s="16" t="s">
        <v>992</v>
      </c>
      <c r="AJ151" s="2"/>
    </row>
    <row r="152" spans="1:36" ht="30" customHeight="1" x14ac:dyDescent="0.15">
      <c r="A152" s="5" t="s">
        <v>156</v>
      </c>
      <c r="B152" s="8" t="s">
        <v>993</v>
      </c>
      <c r="C152" s="8" t="s">
        <v>994</v>
      </c>
      <c r="D152" s="8" t="s">
        <v>995</v>
      </c>
      <c r="E152" s="8" t="s">
        <v>374</v>
      </c>
      <c r="F152" s="5">
        <v>2024</v>
      </c>
      <c r="G152" s="5"/>
      <c r="H152" s="5"/>
      <c r="I152" s="8" t="s">
        <v>996</v>
      </c>
      <c r="J152" s="13" t="s">
        <v>997</v>
      </c>
      <c r="K152" s="8" t="s">
        <v>377</v>
      </c>
      <c r="L152" s="5" t="s">
        <v>233</v>
      </c>
      <c r="M152" s="8" t="s">
        <v>46</v>
      </c>
      <c r="N152" s="8" t="s">
        <v>256</v>
      </c>
      <c r="O152" s="8" t="s">
        <v>120</v>
      </c>
      <c r="P152" s="5">
        <v>3</v>
      </c>
      <c r="Q152" s="5"/>
      <c r="R152" s="5"/>
      <c r="S152" s="5"/>
      <c r="T152" s="5">
        <v>3</v>
      </c>
      <c r="U152" s="5">
        <v>4</v>
      </c>
      <c r="V152" s="5">
        <v>2</v>
      </c>
      <c r="W152" s="5">
        <v>1</v>
      </c>
      <c r="X152" s="16">
        <f>Lit_rev_final[[#This Row],[Foundationality_1_5]]*0.35+Lit_rev_final[[#This Row],[Topic_Fit_1_5]]*0.35+Lit_rev_final[[#This Row],[Outlet_Quality_1_5]]*0.2+(0.1*Lit_rev_final[[#This Row],[Bridge_Value_0_3]]/3*5)</f>
        <v>3.0166666666666662</v>
      </c>
      <c r="Y152" s="10" t="s">
        <v>581</v>
      </c>
      <c r="Z152" s="5" t="s">
        <v>156</v>
      </c>
      <c r="AA152" s="5" t="s">
        <v>46</v>
      </c>
      <c r="AB152" s="5" t="s">
        <v>46</v>
      </c>
      <c r="AC152" s="16" t="s">
        <v>998</v>
      </c>
      <c r="AJ152" s="2"/>
    </row>
    <row r="153" spans="1:36" ht="30" customHeight="1" x14ac:dyDescent="0.15">
      <c r="A153" s="5" t="s">
        <v>156</v>
      </c>
      <c r="B153" s="8" t="s">
        <v>999</v>
      </c>
      <c r="C153" s="8" t="s">
        <v>1000</v>
      </c>
      <c r="D153" s="8" t="s">
        <v>1001</v>
      </c>
      <c r="E153" s="8" t="s">
        <v>764</v>
      </c>
      <c r="F153" s="5">
        <v>2025</v>
      </c>
      <c r="G153" s="5">
        <v>9242</v>
      </c>
      <c r="H153" s="5">
        <v>9256</v>
      </c>
      <c r="I153" s="8" t="s">
        <v>1002</v>
      </c>
      <c r="J153" s="13" t="s">
        <v>1003</v>
      </c>
      <c r="K153" s="8" t="s">
        <v>232</v>
      </c>
      <c r="L153" s="5" t="s">
        <v>233</v>
      </c>
      <c r="M153" s="8" t="s">
        <v>234</v>
      </c>
      <c r="N153" s="8" t="s">
        <v>256</v>
      </c>
      <c r="O153" s="8" t="s">
        <v>120</v>
      </c>
      <c r="P153" s="5">
        <v>3</v>
      </c>
      <c r="Q153" s="5"/>
      <c r="R153" s="5"/>
      <c r="S153" s="5"/>
      <c r="T153" s="5">
        <v>3</v>
      </c>
      <c r="U153" s="5">
        <v>4</v>
      </c>
      <c r="V153" s="5">
        <v>2</v>
      </c>
      <c r="W153" s="5">
        <v>1</v>
      </c>
      <c r="X153" s="16">
        <f>Lit_rev_final[[#This Row],[Foundationality_1_5]]*0.35+Lit_rev_final[[#This Row],[Topic_Fit_1_5]]*0.35+Lit_rev_final[[#This Row],[Outlet_Quality_1_5]]*0.2+(0.1*Lit_rev_final[[#This Row],[Bridge_Value_0_3]]/3*5)</f>
        <v>3.0166666666666662</v>
      </c>
      <c r="Y153" s="10" t="s">
        <v>851</v>
      </c>
      <c r="Z153" s="5" t="s">
        <v>156</v>
      </c>
      <c r="AA153" s="5" t="s">
        <v>46</v>
      </c>
      <c r="AB153" s="5" t="s">
        <v>46</v>
      </c>
      <c r="AC153" s="16" t="s">
        <v>1004</v>
      </c>
      <c r="AJ153" s="2"/>
    </row>
    <row r="154" spans="1:36" ht="30" customHeight="1" x14ac:dyDescent="0.15">
      <c r="A154" s="5" t="s">
        <v>156</v>
      </c>
      <c r="B154" s="8" t="s">
        <v>1005</v>
      </c>
      <c r="C154" s="8" t="s">
        <v>1006</v>
      </c>
      <c r="D154" s="8" t="s">
        <v>1007</v>
      </c>
      <c r="E154" s="8" t="s">
        <v>404</v>
      </c>
      <c r="F154" s="5">
        <v>2024</v>
      </c>
      <c r="G154" s="5"/>
      <c r="H154" s="5"/>
      <c r="I154" s="8" t="s">
        <v>1008</v>
      </c>
      <c r="J154" s="13" t="s">
        <v>1009</v>
      </c>
      <c r="K154" s="8" t="s">
        <v>303</v>
      </c>
      <c r="L154" s="5" t="s">
        <v>233</v>
      </c>
      <c r="M154" s="8" t="s">
        <v>367</v>
      </c>
      <c r="N154" s="8" t="s">
        <v>256</v>
      </c>
      <c r="O154" s="8" t="s">
        <v>120</v>
      </c>
      <c r="P154" s="5">
        <v>3</v>
      </c>
      <c r="Q154" s="5"/>
      <c r="R154" s="5"/>
      <c r="S154" s="5"/>
      <c r="T154" s="5">
        <v>3</v>
      </c>
      <c r="U154" s="5">
        <v>4</v>
      </c>
      <c r="V154" s="5">
        <v>2</v>
      </c>
      <c r="W154" s="5">
        <v>1</v>
      </c>
      <c r="X154" s="16">
        <f>Lit_rev_final[[#This Row],[Foundationality_1_5]]*0.35+Lit_rev_final[[#This Row],[Topic_Fit_1_5]]*0.35+Lit_rev_final[[#This Row],[Outlet_Quality_1_5]]*0.2+(0.1*Lit_rev_final[[#This Row],[Bridge_Value_0_3]]/3*5)</f>
        <v>3.0166666666666662</v>
      </c>
      <c r="Y154" s="10" t="s">
        <v>581</v>
      </c>
      <c r="Z154" s="5" t="s">
        <v>156</v>
      </c>
      <c r="AA154" s="5" t="s">
        <v>46</v>
      </c>
      <c r="AB154" s="5" t="s">
        <v>46</v>
      </c>
      <c r="AC154" s="16" t="s">
        <v>1010</v>
      </c>
      <c r="AJ154" s="2"/>
    </row>
    <row r="155" spans="1:36" ht="30" customHeight="1" x14ac:dyDescent="0.15">
      <c r="A155" s="5" t="s">
        <v>156</v>
      </c>
      <c r="B155" s="8" t="s">
        <v>1011</v>
      </c>
      <c r="C155" s="8" t="s">
        <v>1012</v>
      </c>
      <c r="D155" s="8" t="s">
        <v>1013</v>
      </c>
      <c r="E155" s="8" t="s">
        <v>374</v>
      </c>
      <c r="F155" s="5">
        <v>2024</v>
      </c>
      <c r="G155" s="5"/>
      <c r="H155" s="5"/>
      <c r="I155" s="8" t="s">
        <v>1014</v>
      </c>
      <c r="J155" s="13" t="s">
        <v>1015</v>
      </c>
      <c r="K155" s="8" t="s">
        <v>377</v>
      </c>
      <c r="L155" s="5" t="s">
        <v>233</v>
      </c>
      <c r="M155" s="8" t="s">
        <v>46</v>
      </c>
      <c r="N155" s="8" t="s">
        <v>256</v>
      </c>
      <c r="O155" s="8" t="s">
        <v>120</v>
      </c>
      <c r="P155" s="5">
        <v>3</v>
      </c>
      <c r="Q155" s="5"/>
      <c r="R155" s="5"/>
      <c r="S155" s="5"/>
      <c r="T155" s="5">
        <v>3</v>
      </c>
      <c r="U155" s="5">
        <v>4</v>
      </c>
      <c r="V155" s="5">
        <v>2</v>
      </c>
      <c r="W155" s="5">
        <v>1</v>
      </c>
      <c r="X155" s="16">
        <f>Lit_rev_final[[#This Row],[Foundationality_1_5]]*0.35+Lit_rev_final[[#This Row],[Topic_Fit_1_5]]*0.35+Lit_rev_final[[#This Row],[Outlet_Quality_1_5]]*0.2+(0.1*Lit_rev_final[[#This Row],[Bridge_Value_0_3]]/3*5)</f>
        <v>3.0166666666666662</v>
      </c>
      <c r="Y155" s="10" t="s">
        <v>851</v>
      </c>
      <c r="Z155" s="5" t="s">
        <v>156</v>
      </c>
      <c r="AA155" s="5" t="s">
        <v>46</v>
      </c>
      <c r="AB155" s="5" t="s">
        <v>46</v>
      </c>
      <c r="AC155" s="16" t="s">
        <v>1016</v>
      </c>
      <c r="AJ155" s="2"/>
    </row>
    <row r="156" spans="1:36" ht="30" customHeight="1" x14ac:dyDescent="0.15">
      <c r="A156" s="5" t="s">
        <v>156</v>
      </c>
      <c r="B156" s="8" t="s">
        <v>1017</v>
      </c>
      <c r="C156" s="8" t="s">
        <v>1018</v>
      </c>
      <c r="D156" s="8" t="s">
        <v>1019</v>
      </c>
      <c r="E156" s="8" t="s">
        <v>374</v>
      </c>
      <c r="F156" s="5">
        <v>2024</v>
      </c>
      <c r="G156" s="5"/>
      <c r="H156" s="5"/>
      <c r="I156" s="8" t="s">
        <v>1020</v>
      </c>
      <c r="J156" s="13" t="s">
        <v>1021</v>
      </c>
      <c r="K156" s="8" t="s">
        <v>377</v>
      </c>
      <c r="L156" s="5" t="s">
        <v>233</v>
      </c>
      <c r="M156" s="8" t="s">
        <v>46</v>
      </c>
      <c r="N156" s="8" t="s">
        <v>256</v>
      </c>
      <c r="O156" s="8" t="s">
        <v>120</v>
      </c>
      <c r="P156" s="5">
        <v>3</v>
      </c>
      <c r="Q156" s="5"/>
      <c r="R156" s="5"/>
      <c r="S156" s="5"/>
      <c r="T156" s="5">
        <v>3</v>
      </c>
      <c r="U156" s="5">
        <v>4</v>
      </c>
      <c r="V156" s="5">
        <v>2</v>
      </c>
      <c r="W156" s="5">
        <v>1</v>
      </c>
      <c r="X156" s="16">
        <f>Lit_rev_final[[#This Row],[Foundationality_1_5]]*0.35+Lit_rev_final[[#This Row],[Topic_Fit_1_5]]*0.35+Lit_rev_final[[#This Row],[Outlet_Quality_1_5]]*0.2+(0.1*Lit_rev_final[[#This Row],[Bridge_Value_0_3]]/3*5)</f>
        <v>3.0166666666666662</v>
      </c>
      <c r="Y156" s="10" t="s">
        <v>851</v>
      </c>
      <c r="Z156" s="5" t="s">
        <v>156</v>
      </c>
      <c r="AA156" s="5" t="s">
        <v>46</v>
      </c>
      <c r="AB156" s="5" t="s">
        <v>46</v>
      </c>
      <c r="AC156" s="16" t="s">
        <v>1022</v>
      </c>
      <c r="AJ156" s="2"/>
    </row>
    <row r="157" spans="1:36" ht="30" customHeight="1" x14ac:dyDescent="0.15">
      <c r="A157" s="5" t="s">
        <v>156</v>
      </c>
      <c r="B157" s="8" t="s">
        <v>1023</v>
      </c>
      <c r="C157" s="8" t="s">
        <v>1024</v>
      </c>
      <c r="D157" s="8" t="s">
        <v>1025</v>
      </c>
      <c r="E157" s="8" t="s">
        <v>374</v>
      </c>
      <c r="F157" s="5">
        <v>2024</v>
      </c>
      <c r="G157" s="5"/>
      <c r="H157" s="5"/>
      <c r="I157" s="8" t="s">
        <v>1026</v>
      </c>
      <c r="J157" s="13" t="s">
        <v>1027</v>
      </c>
      <c r="K157" s="8" t="s">
        <v>377</v>
      </c>
      <c r="L157" s="5" t="s">
        <v>233</v>
      </c>
      <c r="M157" s="8" t="s">
        <v>46</v>
      </c>
      <c r="N157" s="8" t="s">
        <v>256</v>
      </c>
      <c r="O157" s="8" t="s">
        <v>120</v>
      </c>
      <c r="P157" s="5">
        <v>3</v>
      </c>
      <c r="Q157" s="5"/>
      <c r="R157" s="5"/>
      <c r="S157" s="5"/>
      <c r="T157" s="5">
        <v>3</v>
      </c>
      <c r="U157" s="5">
        <v>4</v>
      </c>
      <c r="V157" s="5">
        <v>2</v>
      </c>
      <c r="W157" s="5">
        <v>1</v>
      </c>
      <c r="X157" s="16">
        <f>Lit_rev_final[[#This Row],[Foundationality_1_5]]*0.35+Lit_rev_final[[#This Row],[Topic_Fit_1_5]]*0.35+Lit_rev_final[[#This Row],[Outlet_Quality_1_5]]*0.2+(0.1*Lit_rev_final[[#This Row],[Bridge_Value_0_3]]/3*5)</f>
        <v>3.0166666666666662</v>
      </c>
      <c r="Y157" s="10" t="s">
        <v>304</v>
      </c>
      <c r="Z157" s="5" t="s">
        <v>156</v>
      </c>
      <c r="AA157" s="5" t="s">
        <v>46</v>
      </c>
      <c r="AB157" s="5" t="s">
        <v>46</v>
      </c>
      <c r="AC157" s="16" t="s">
        <v>1028</v>
      </c>
      <c r="AJ157" s="2"/>
    </row>
    <row r="158" spans="1:36" ht="30" customHeight="1" x14ac:dyDescent="0.15">
      <c r="A158" s="5" t="s">
        <v>156</v>
      </c>
      <c r="B158" s="8" t="s">
        <v>1029</v>
      </c>
      <c r="C158" s="8" t="s">
        <v>1030</v>
      </c>
      <c r="D158" s="8" t="s">
        <v>1031</v>
      </c>
      <c r="E158" s="8" t="s">
        <v>374</v>
      </c>
      <c r="F158" s="5">
        <v>2025</v>
      </c>
      <c r="G158" s="5"/>
      <c r="H158" s="5"/>
      <c r="I158" s="8" t="s">
        <v>1032</v>
      </c>
      <c r="J158" s="13" t="s">
        <v>1033</v>
      </c>
      <c r="K158" s="8" t="s">
        <v>377</v>
      </c>
      <c r="L158" s="5" t="s">
        <v>233</v>
      </c>
      <c r="M158" s="8" t="s">
        <v>46</v>
      </c>
      <c r="N158" s="8" t="s">
        <v>256</v>
      </c>
      <c r="O158" s="8" t="s">
        <v>120</v>
      </c>
      <c r="P158" s="5">
        <v>3</v>
      </c>
      <c r="Q158" s="5"/>
      <c r="R158" s="5"/>
      <c r="S158" s="5"/>
      <c r="T158" s="5">
        <v>3</v>
      </c>
      <c r="U158" s="5">
        <v>4</v>
      </c>
      <c r="V158" s="5">
        <v>2</v>
      </c>
      <c r="W158" s="5">
        <v>1</v>
      </c>
      <c r="X158" s="16">
        <f>Lit_rev_final[[#This Row],[Foundationality_1_5]]*0.35+Lit_rev_final[[#This Row],[Topic_Fit_1_5]]*0.35+Lit_rev_final[[#This Row],[Outlet_Quality_1_5]]*0.2+(0.1*Lit_rev_final[[#This Row],[Bridge_Value_0_3]]/3*5)</f>
        <v>3.0166666666666662</v>
      </c>
      <c r="Y158" s="10" t="s">
        <v>851</v>
      </c>
      <c r="Z158" s="5" t="s">
        <v>156</v>
      </c>
      <c r="AA158" s="5" t="s">
        <v>46</v>
      </c>
      <c r="AB158" s="5" t="s">
        <v>46</v>
      </c>
      <c r="AC158" s="16" t="s">
        <v>1034</v>
      </c>
      <c r="AJ158" s="2"/>
    </row>
    <row r="159" spans="1:36" ht="30" customHeight="1" x14ac:dyDescent="0.15">
      <c r="A159" s="5" t="s">
        <v>156</v>
      </c>
      <c r="B159" s="8" t="s">
        <v>1035</v>
      </c>
      <c r="C159" s="8" t="s">
        <v>1036</v>
      </c>
      <c r="D159" s="8" t="s">
        <v>1037</v>
      </c>
      <c r="E159" s="8" t="s">
        <v>1038</v>
      </c>
      <c r="F159" s="5">
        <v>2024</v>
      </c>
      <c r="G159" s="5"/>
      <c r="H159" s="5"/>
      <c r="I159" s="8" t="s">
        <v>1039</v>
      </c>
      <c r="J159" s="13" t="s">
        <v>1040</v>
      </c>
      <c r="K159" s="8" t="s">
        <v>303</v>
      </c>
      <c r="L159" s="5" t="s">
        <v>233</v>
      </c>
      <c r="M159" s="8" t="s">
        <v>367</v>
      </c>
      <c r="N159" s="8" t="s">
        <v>256</v>
      </c>
      <c r="O159" s="8" t="s">
        <v>120</v>
      </c>
      <c r="P159" s="5">
        <v>3</v>
      </c>
      <c r="Q159" s="5"/>
      <c r="R159" s="5"/>
      <c r="S159" s="5"/>
      <c r="T159" s="5">
        <v>3</v>
      </c>
      <c r="U159" s="5">
        <v>4</v>
      </c>
      <c r="V159" s="5">
        <v>2</v>
      </c>
      <c r="W159" s="5">
        <v>1</v>
      </c>
      <c r="X159" s="16">
        <f>Lit_rev_final[[#This Row],[Foundationality_1_5]]*0.35+Lit_rev_final[[#This Row],[Topic_Fit_1_5]]*0.35+Lit_rev_final[[#This Row],[Outlet_Quality_1_5]]*0.2+(0.1*Lit_rev_final[[#This Row],[Bridge_Value_0_3]]/3*5)</f>
        <v>3.0166666666666662</v>
      </c>
      <c r="Y159" s="10" t="s">
        <v>581</v>
      </c>
      <c r="Z159" s="5" t="s">
        <v>156</v>
      </c>
      <c r="AA159" s="5" t="s">
        <v>46</v>
      </c>
      <c r="AB159" s="5" t="s">
        <v>46</v>
      </c>
      <c r="AC159" s="16" t="s">
        <v>1041</v>
      </c>
      <c r="AJ159" s="2"/>
    </row>
    <row r="160" spans="1:36" ht="30" customHeight="1" x14ac:dyDescent="0.15">
      <c r="A160" s="5" t="s">
        <v>156</v>
      </c>
      <c r="B160" s="8" t="s">
        <v>1042</v>
      </c>
      <c r="C160" s="8" t="s">
        <v>1043</v>
      </c>
      <c r="D160" s="8" t="s">
        <v>403</v>
      </c>
      <c r="E160" s="8"/>
      <c r="F160" s="5">
        <v>2026</v>
      </c>
      <c r="G160" s="5"/>
      <c r="H160" s="5"/>
      <c r="I160" s="8" t="s">
        <v>1044</v>
      </c>
      <c r="J160" s="13" t="s">
        <v>1045</v>
      </c>
      <c r="K160" s="8" t="s">
        <v>580</v>
      </c>
      <c r="L160" s="5" t="s">
        <v>233</v>
      </c>
      <c r="M160" s="8" t="s">
        <v>46</v>
      </c>
      <c r="N160" s="8" t="s">
        <v>256</v>
      </c>
      <c r="O160" s="8" t="s">
        <v>120</v>
      </c>
      <c r="P160" s="5">
        <v>3</v>
      </c>
      <c r="Q160" s="5"/>
      <c r="R160" s="5"/>
      <c r="S160" s="5"/>
      <c r="T160" s="5">
        <v>3</v>
      </c>
      <c r="U160" s="5">
        <v>4</v>
      </c>
      <c r="V160" s="5">
        <v>2</v>
      </c>
      <c r="W160" s="5">
        <v>1</v>
      </c>
      <c r="X160" s="16">
        <f>Lit_rev_final[[#This Row],[Foundationality_1_5]]*0.35+Lit_rev_final[[#This Row],[Topic_Fit_1_5]]*0.35+Lit_rev_final[[#This Row],[Outlet_Quality_1_5]]*0.2+(0.1*Lit_rev_final[[#This Row],[Bridge_Value_0_3]]/3*5)</f>
        <v>3.0166666666666662</v>
      </c>
      <c r="Y160" s="10" t="s">
        <v>851</v>
      </c>
      <c r="Z160" s="5" t="s">
        <v>156</v>
      </c>
      <c r="AA160" s="5" t="s">
        <v>46</v>
      </c>
      <c r="AB160" s="5" t="s">
        <v>46</v>
      </c>
      <c r="AC160" s="16" t="s">
        <v>1046</v>
      </c>
      <c r="AJ160" s="2"/>
    </row>
    <row r="161" spans="1:36" ht="30" customHeight="1" x14ac:dyDescent="0.15">
      <c r="A161" s="5" t="s">
        <v>156</v>
      </c>
      <c r="B161" s="8" t="s">
        <v>1047</v>
      </c>
      <c r="C161" s="8" t="s">
        <v>1048</v>
      </c>
      <c r="D161" s="8" t="s">
        <v>1049</v>
      </c>
      <c r="E161" s="8" t="s">
        <v>374</v>
      </c>
      <c r="F161" s="5">
        <v>2025</v>
      </c>
      <c r="G161" s="5"/>
      <c r="H161" s="5"/>
      <c r="I161" s="8" t="s">
        <v>1050</v>
      </c>
      <c r="J161" s="13" t="s">
        <v>1051</v>
      </c>
      <c r="K161" s="8" t="s">
        <v>377</v>
      </c>
      <c r="L161" s="5" t="s">
        <v>233</v>
      </c>
      <c r="M161" s="8" t="s">
        <v>46</v>
      </c>
      <c r="N161" s="8" t="s">
        <v>256</v>
      </c>
      <c r="O161" s="8" t="s">
        <v>120</v>
      </c>
      <c r="P161" s="5">
        <v>3</v>
      </c>
      <c r="Q161" s="5"/>
      <c r="R161" s="5"/>
      <c r="S161" s="5"/>
      <c r="T161" s="5">
        <v>3</v>
      </c>
      <c r="U161" s="5">
        <v>4</v>
      </c>
      <c r="V161" s="5">
        <v>2</v>
      </c>
      <c r="W161" s="5">
        <v>1</v>
      </c>
      <c r="X161" s="16">
        <f>Lit_rev_final[[#This Row],[Foundationality_1_5]]*0.35+Lit_rev_final[[#This Row],[Topic_Fit_1_5]]*0.35+Lit_rev_final[[#This Row],[Outlet_Quality_1_5]]*0.2+(0.1*Lit_rev_final[[#This Row],[Bridge_Value_0_3]]/3*5)</f>
        <v>3.0166666666666662</v>
      </c>
      <c r="Y161" s="10" t="s">
        <v>851</v>
      </c>
      <c r="Z161" s="5" t="s">
        <v>156</v>
      </c>
      <c r="AA161" s="5" t="s">
        <v>46</v>
      </c>
      <c r="AB161" s="5" t="s">
        <v>46</v>
      </c>
      <c r="AC161" s="16" t="s">
        <v>185</v>
      </c>
      <c r="AJ161" s="2"/>
    </row>
    <row r="162" spans="1:36" ht="30" customHeight="1" x14ac:dyDescent="0.15">
      <c r="A162" s="5" t="s">
        <v>156</v>
      </c>
      <c r="B162" s="8" t="s">
        <v>1052</v>
      </c>
      <c r="C162" s="8" t="s">
        <v>1053</v>
      </c>
      <c r="D162" s="8" t="s">
        <v>1054</v>
      </c>
      <c r="E162" s="8" t="s">
        <v>152</v>
      </c>
      <c r="F162" s="5">
        <v>2025</v>
      </c>
      <c r="G162" s="5"/>
      <c r="H162" s="5"/>
      <c r="I162" s="8" t="s">
        <v>1055</v>
      </c>
      <c r="J162" s="13" t="s">
        <v>1056</v>
      </c>
      <c r="K162" s="8" t="s">
        <v>232</v>
      </c>
      <c r="L162" s="5" t="s">
        <v>233</v>
      </c>
      <c r="M162" s="8" t="s">
        <v>234</v>
      </c>
      <c r="N162" s="8" t="s">
        <v>256</v>
      </c>
      <c r="O162" s="8" t="s">
        <v>120</v>
      </c>
      <c r="P162" s="5">
        <v>3</v>
      </c>
      <c r="Q162" s="5"/>
      <c r="R162" s="5"/>
      <c r="S162" s="5"/>
      <c r="T162" s="5">
        <v>3</v>
      </c>
      <c r="U162" s="5">
        <v>4</v>
      </c>
      <c r="V162" s="5">
        <v>2</v>
      </c>
      <c r="W162" s="5">
        <v>1</v>
      </c>
      <c r="X162" s="16">
        <f>Lit_rev_final[[#This Row],[Foundationality_1_5]]*0.35+Lit_rev_final[[#This Row],[Topic_Fit_1_5]]*0.35+Lit_rev_final[[#This Row],[Outlet_Quality_1_5]]*0.2+(0.1*Lit_rev_final[[#This Row],[Bridge_Value_0_3]]/3*5)</f>
        <v>3.0166666666666662</v>
      </c>
      <c r="Y162" s="10" t="s">
        <v>581</v>
      </c>
      <c r="Z162" s="5" t="s">
        <v>156</v>
      </c>
      <c r="AA162" s="5" t="s">
        <v>46</v>
      </c>
      <c r="AB162" s="5" t="s">
        <v>46</v>
      </c>
      <c r="AC162" s="16">
        <v>9</v>
      </c>
      <c r="AJ162" s="2"/>
    </row>
    <row r="163" spans="1:36" ht="30" customHeight="1" x14ac:dyDescent="0.15">
      <c r="A163" s="5" t="s">
        <v>156</v>
      </c>
      <c r="B163" s="8" t="s">
        <v>1057</v>
      </c>
      <c r="C163" s="8" t="s">
        <v>1058</v>
      </c>
      <c r="D163" s="8" t="s">
        <v>1059</v>
      </c>
      <c r="E163" s="8" t="s">
        <v>493</v>
      </c>
      <c r="F163" s="5">
        <v>2025</v>
      </c>
      <c r="G163" s="5"/>
      <c r="H163" s="5"/>
      <c r="I163" s="8" t="s">
        <v>1060</v>
      </c>
      <c r="J163" s="13" t="s">
        <v>1061</v>
      </c>
      <c r="K163" s="8" t="s">
        <v>303</v>
      </c>
      <c r="L163" s="5" t="s">
        <v>233</v>
      </c>
      <c r="M163" s="8" t="s">
        <v>367</v>
      </c>
      <c r="N163" s="8" t="s">
        <v>256</v>
      </c>
      <c r="O163" s="8" t="s">
        <v>120</v>
      </c>
      <c r="P163" s="5">
        <v>3</v>
      </c>
      <c r="Q163" s="5"/>
      <c r="R163" s="5"/>
      <c r="S163" s="5"/>
      <c r="T163" s="5">
        <v>3</v>
      </c>
      <c r="U163" s="5">
        <v>4</v>
      </c>
      <c r="V163" s="5">
        <v>2</v>
      </c>
      <c r="W163" s="5">
        <v>1</v>
      </c>
      <c r="X163" s="16">
        <f>Lit_rev_final[[#This Row],[Foundationality_1_5]]*0.35+Lit_rev_final[[#This Row],[Topic_Fit_1_5]]*0.35+Lit_rev_final[[#This Row],[Outlet_Quality_1_5]]*0.2+(0.1*Lit_rev_final[[#This Row],[Bridge_Value_0_3]]/3*5)</f>
        <v>3.0166666666666662</v>
      </c>
      <c r="Y163" s="10" t="s">
        <v>1062</v>
      </c>
      <c r="Z163" s="5" t="s">
        <v>156</v>
      </c>
      <c r="AA163" s="5" t="s">
        <v>46</v>
      </c>
      <c r="AB163" s="5" t="s">
        <v>46</v>
      </c>
      <c r="AC163" s="16" t="s">
        <v>1063</v>
      </c>
      <c r="AJ163" s="2"/>
    </row>
    <row r="164" spans="1:36" ht="30" customHeight="1" x14ac:dyDescent="0.15">
      <c r="A164" s="5" t="s">
        <v>156</v>
      </c>
      <c r="B164" s="8" t="s">
        <v>1064</v>
      </c>
      <c r="C164" s="8" t="s">
        <v>1065</v>
      </c>
      <c r="D164" s="8" t="s">
        <v>436</v>
      </c>
      <c r="E164" s="8" t="s">
        <v>331</v>
      </c>
      <c r="F164" s="5">
        <v>2025</v>
      </c>
      <c r="G164" s="5">
        <v>631</v>
      </c>
      <c r="H164" s="5">
        <v>636</v>
      </c>
      <c r="I164" s="8" t="s">
        <v>1066</v>
      </c>
      <c r="J164" s="13" t="s">
        <v>1067</v>
      </c>
      <c r="K164" s="8" t="s">
        <v>232</v>
      </c>
      <c r="L164" s="5" t="s">
        <v>233</v>
      </c>
      <c r="M164" s="8" t="s">
        <v>392</v>
      </c>
      <c r="N164" s="8" t="s">
        <v>256</v>
      </c>
      <c r="O164" s="8" t="s">
        <v>120</v>
      </c>
      <c r="P164" s="5">
        <v>3</v>
      </c>
      <c r="Q164" s="5"/>
      <c r="R164" s="5"/>
      <c r="S164" s="5"/>
      <c r="T164" s="5">
        <v>3</v>
      </c>
      <c r="U164" s="5">
        <v>4</v>
      </c>
      <c r="V164" s="5">
        <v>2</v>
      </c>
      <c r="W164" s="5">
        <v>1</v>
      </c>
      <c r="X164" s="16">
        <f>Lit_rev_final[[#This Row],[Foundationality_1_5]]*0.35+Lit_rev_final[[#This Row],[Topic_Fit_1_5]]*0.35+Lit_rev_final[[#This Row],[Outlet_Quality_1_5]]*0.2+(0.1*Lit_rev_final[[#This Row],[Bridge_Value_0_3]]/3*5)</f>
        <v>3.0166666666666662</v>
      </c>
      <c r="Y164" s="10" t="s">
        <v>845</v>
      </c>
      <c r="Z164" s="5" t="s">
        <v>156</v>
      </c>
      <c r="AA164" s="5" t="s">
        <v>46</v>
      </c>
      <c r="AB164" s="5" t="s">
        <v>46</v>
      </c>
      <c r="AC164" s="16" t="s">
        <v>1068</v>
      </c>
      <c r="AJ164" s="2"/>
    </row>
    <row r="165" spans="1:36" ht="30" customHeight="1" x14ac:dyDescent="0.15">
      <c r="A165" s="5" t="s">
        <v>156</v>
      </c>
      <c r="B165" s="8" t="s">
        <v>1069</v>
      </c>
      <c r="C165" s="8" t="s">
        <v>1070</v>
      </c>
      <c r="D165" s="8" t="s">
        <v>1071</v>
      </c>
      <c r="E165" s="8"/>
      <c r="F165" s="5">
        <v>2023</v>
      </c>
      <c r="G165" s="5"/>
      <c r="H165" s="5"/>
      <c r="I165" s="8" t="s">
        <v>1072</v>
      </c>
      <c r="J165" s="13" t="s">
        <v>1073</v>
      </c>
      <c r="K165" s="8" t="s">
        <v>580</v>
      </c>
      <c r="L165" s="5" t="s">
        <v>233</v>
      </c>
      <c r="M165" s="8" t="s">
        <v>46</v>
      </c>
      <c r="N165" s="8" t="s">
        <v>256</v>
      </c>
      <c r="O165" s="8" t="s">
        <v>120</v>
      </c>
      <c r="P165" s="5">
        <v>3</v>
      </c>
      <c r="Q165" s="5"/>
      <c r="R165" s="5"/>
      <c r="S165" s="5"/>
      <c r="T165" s="5">
        <v>3</v>
      </c>
      <c r="U165" s="5">
        <v>4</v>
      </c>
      <c r="V165" s="5">
        <v>2</v>
      </c>
      <c r="W165" s="5">
        <v>1</v>
      </c>
      <c r="X165" s="16">
        <f>Lit_rev_final[[#This Row],[Foundationality_1_5]]*0.35+Lit_rev_final[[#This Row],[Topic_Fit_1_5]]*0.35+Lit_rev_final[[#This Row],[Outlet_Quality_1_5]]*0.2+(0.1*Lit_rev_final[[#This Row],[Bridge_Value_0_3]]/3*5)</f>
        <v>3.0166666666666662</v>
      </c>
      <c r="Y165" s="10" t="s">
        <v>851</v>
      </c>
      <c r="Z165" s="5" t="s">
        <v>156</v>
      </c>
      <c r="AA165" s="5" t="s">
        <v>46</v>
      </c>
      <c r="AB165" s="5" t="s">
        <v>46</v>
      </c>
      <c r="AC165" s="16" t="s">
        <v>1074</v>
      </c>
      <c r="AJ165" s="2"/>
    </row>
    <row r="166" spans="1:36" ht="30" customHeight="1" x14ac:dyDescent="0.15">
      <c r="A166" s="5" t="s">
        <v>156</v>
      </c>
      <c r="B166" s="8" t="s">
        <v>1075</v>
      </c>
      <c r="C166" s="8" t="s">
        <v>1076</v>
      </c>
      <c r="D166" s="8" t="s">
        <v>1077</v>
      </c>
      <c r="E166" s="8" t="s">
        <v>374</v>
      </c>
      <c r="F166" s="5">
        <v>2025</v>
      </c>
      <c r="G166" s="5"/>
      <c r="H166" s="5"/>
      <c r="I166" s="8" t="s">
        <v>1078</v>
      </c>
      <c r="J166" s="13" t="s">
        <v>1079</v>
      </c>
      <c r="K166" s="8" t="s">
        <v>377</v>
      </c>
      <c r="L166" s="5" t="s">
        <v>233</v>
      </c>
      <c r="M166" s="8" t="s">
        <v>46</v>
      </c>
      <c r="N166" s="8" t="s">
        <v>256</v>
      </c>
      <c r="O166" s="8" t="s">
        <v>120</v>
      </c>
      <c r="P166" s="5">
        <v>3</v>
      </c>
      <c r="Q166" s="5"/>
      <c r="R166" s="5"/>
      <c r="S166" s="5"/>
      <c r="T166" s="5">
        <v>3</v>
      </c>
      <c r="U166" s="5">
        <v>4</v>
      </c>
      <c r="V166" s="5">
        <v>2</v>
      </c>
      <c r="W166" s="5">
        <v>1</v>
      </c>
      <c r="X166" s="16">
        <f>Lit_rev_final[[#This Row],[Foundationality_1_5]]*0.35+Lit_rev_final[[#This Row],[Topic_Fit_1_5]]*0.35+Lit_rev_final[[#This Row],[Outlet_Quality_1_5]]*0.2+(0.1*Lit_rev_final[[#This Row],[Bridge_Value_0_3]]/3*5)</f>
        <v>3.0166666666666662</v>
      </c>
      <c r="Y166" s="10" t="s">
        <v>304</v>
      </c>
      <c r="Z166" s="5" t="s">
        <v>156</v>
      </c>
      <c r="AA166" s="5" t="s">
        <v>46</v>
      </c>
      <c r="AB166" s="5" t="s">
        <v>46</v>
      </c>
      <c r="AC166" s="16" t="s">
        <v>1080</v>
      </c>
      <c r="AJ166" s="2"/>
    </row>
    <row r="167" spans="1:36" ht="30" customHeight="1" x14ac:dyDescent="0.15">
      <c r="A167" s="5" t="s">
        <v>156</v>
      </c>
      <c r="B167" s="8" t="s">
        <v>1081</v>
      </c>
      <c r="C167" s="8" t="s">
        <v>1082</v>
      </c>
      <c r="D167" s="8" t="s">
        <v>1083</v>
      </c>
      <c r="E167" s="8" t="s">
        <v>382</v>
      </c>
      <c r="F167" s="5">
        <v>2023</v>
      </c>
      <c r="G167" s="5"/>
      <c r="H167" s="5"/>
      <c r="I167" s="8" t="s">
        <v>1084</v>
      </c>
      <c r="J167" s="13" t="s">
        <v>1085</v>
      </c>
      <c r="K167" s="8" t="s">
        <v>303</v>
      </c>
      <c r="L167" s="5" t="s">
        <v>233</v>
      </c>
      <c r="M167" s="8" t="s">
        <v>367</v>
      </c>
      <c r="N167" s="8" t="s">
        <v>256</v>
      </c>
      <c r="O167" s="8" t="s">
        <v>120</v>
      </c>
      <c r="P167" s="5">
        <v>3</v>
      </c>
      <c r="Q167" s="5"/>
      <c r="R167" s="5"/>
      <c r="S167" s="5"/>
      <c r="T167" s="5">
        <v>3</v>
      </c>
      <c r="U167" s="5">
        <v>4</v>
      </c>
      <c r="V167" s="5">
        <v>2</v>
      </c>
      <c r="W167" s="5">
        <v>1</v>
      </c>
      <c r="X167" s="16">
        <f>Lit_rev_final[[#This Row],[Foundationality_1_5]]*0.35+Lit_rev_final[[#This Row],[Topic_Fit_1_5]]*0.35+Lit_rev_final[[#This Row],[Outlet_Quality_1_5]]*0.2+(0.1*Lit_rev_final[[#This Row],[Bridge_Value_0_3]]/3*5)</f>
        <v>3.0166666666666662</v>
      </c>
      <c r="Y167" s="10" t="s">
        <v>851</v>
      </c>
      <c r="Z167" s="5" t="s">
        <v>156</v>
      </c>
      <c r="AA167" s="5" t="s">
        <v>46</v>
      </c>
      <c r="AB167" s="5" t="s">
        <v>46</v>
      </c>
      <c r="AC167" s="16" t="s">
        <v>1086</v>
      </c>
      <c r="AJ167" s="2"/>
    </row>
    <row r="168" spans="1:36" ht="30" hidden="1" customHeight="1" x14ac:dyDescent="0.15">
      <c r="A168" s="7" t="s">
        <v>30</v>
      </c>
      <c r="B168" s="8" t="s">
        <v>1087</v>
      </c>
      <c r="C168" s="8" t="s">
        <v>1088</v>
      </c>
      <c r="D168" s="8" t="s">
        <v>151</v>
      </c>
      <c r="E168" s="8"/>
      <c r="F168" s="5">
        <v>2019</v>
      </c>
      <c r="G168" s="5"/>
      <c r="H168" s="5"/>
      <c r="I168" s="8" t="s">
        <v>1089</v>
      </c>
      <c r="J168" s="13" t="s">
        <v>1090</v>
      </c>
      <c r="K168" s="8" t="s">
        <v>37</v>
      </c>
      <c r="L168" s="5" t="s">
        <v>38</v>
      </c>
      <c r="M168" s="8" t="s">
        <v>46</v>
      </c>
      <c r="N168" s="8" t="s">
        <v>222</v>
      </c>
      <c r="O168" s="8" t="s">
        <v>223</v>
      </c>
      <c r="P168" s="5">
        <v>3</v>
      </c>
      <c r="Q168" s="5"/>
      <c r="R168" s="5"/>
      <c r="S168" s="5"/>
      <c r="T168" s="5">
        <v>3</v>
      </c>
      <c r="U168" s="5">
        <v>4</v>
      </c>
      <c r="V168" s="5">
        <v>2</v>
      </c>
      <c r="W168" s="5">
        <v>1</v>
      </c>
      <c r="X168" s="16">
        <f>Lit_rev_final[[#This Row],[Foundationality_1_5]]*0.35+Lit_rev_final[[#This Row],[Topic_Fit_1_5]]*0.35+Lit_rev_final[[#This Row],[Outlet_Quality_1_5]]*0.2+(0.1*Lit_rev_final[[#This Row],[Bridge_Value_0_3]]/3*5)</f>
        <v>3.0166666666666662</v>
      </c>
      <c r="Y168" s="10" t="s">
        <v>1091</v>
      </c>
      <c r="Z168" s="5" t="s">
        <v>156</v>
      </c>
      <c r="AA168" s="5" t="s">
        <v>46</v>
      </c>
      <c r="AB168" s="5" t="s">
        <v>46</v>
      </c>
      <c r="AC168" s="5" t="s">
        <v>46</v>
      </c>
      <c r="AJ168" s="2"/>
    </row>
    <row r="169" spans="1:36" ht="30" customHeight="1" x14ac:dyDescent="0.15">
      <c r="A169" s="5" t="s">
        <v>156</v>
      </c>
      <c r="B169" s="8" t="s">
        <v>1092</v>
      </c>
      <c r="C169" s="8" t="s">
        <v>1093</v>
      </c>
      <c r="D169" s="8" t="s">
        <v>436</v>
      </c>
      <c r="E169" s="8" t="s">
        <v>331</v>
      </c>
      <c r="F169" s="5">
        <v>2025</v>
      </c>
      <c r="G169" s="5">
        <v>2040</v>
      </c>
      <c r="H169" s="5">
        <v>2045</v>
      </c>
      <c r="I169" s="8" t="s">
        <v>1094</v>
      </c>
      <c r="J169" s="13" t="s">
        <v>1095</v>
      </c>
      <c r="K169" s="8" t="s">
        <v>232</v>
      </c>
      <c r="L169" s="5" t="s">
        <v>233</v>
      </c>
      <c r="M169" s="8" t="s">
        <v>392</v>
      </c>
      <c r="N169" s="8" t="s">
        <v>256</v>
      </c>
      <c r="O169" s="8" t="s">
        <v>120</v>
      </c>
      <c r="P169" s="5">
        <v>3</v>
      </c>
      <c r="Q169" s="5"/>
      <c r="R169" s="5"/>
      <c r="S169" s="5"/>
      <c r="T169" s="5">
        <v>3</v>
      </c>
      <c r="U169" s="5">
        <v>4</v>
      </c>
      <c r="V169" s="5">
        <v>2</v>
      </c>
      <c r="W169" s="5">
        <v>1</v>
      </c>
      <c r="X169" s="16">
        <f>Lit_rev_final[[#This Row],[Foundationality_1_5]]*0.35+Lit_rev_final[[#This Row],[Topic_Fit_1_5]]*0.35+Lit_rev_final[[#This Row],[Outlet_Quality_1_5]]*0.2+(0.1*Lit_rev_final[[#This Row],[Bridge_Value_0_3]]/3*5)</f>
        <v>3.0166666666666662</v>
      </c>
      <c r="Y169" s="10" t="s">
        <v>839</v>
      </c>
      <c r="Z169" s="5" t="s">
        <v>156</v>
      </c>
      <c r="AA169" s="5" t="s">
        <v>46</v>
      </c>
      <c r="AB169" s="5" t="s">
        <v>46</v>
      </c>
      <c r="AC169" s="16" t="s">
        <v>1096</v>
      </c>
      <c r="AJ169" s="2"/>
    </row>
    <row r="170" spans="1:36" ht="30" customHeight="1" x14ac:dyDescent="0.15">
      <c r="A170" s="5" t="s">
        <v>156</v>
      </c>
      <c r="B170" s="8" t="s">
        <v>1097</v>
      </c>
      <c r="C170" s="8" t="s">
        <v>1098</v>
      </c>
      <c r="D170" s="8" t="s">
        <v>1099</v>
      </c>
      <c r="E170" s="8" t="s">
        <v>374</v>
      </c>
      <c r="F170" s="5">
        <v>2025</v>
      </c>
      <c r="G170" s="5"/>
      <c r="H170" s="5"/>
      <c r="I170" s="8" t="s">
        <v>1100</v>
      </c>
      <c r="J170" s="13" t="s">
        <v>1101</v>
      </c>
      <c r="K170" s="8" t="s">
        <v>377</v>
      </c>
      <c r="L170" s="5" t="s">
        <v>233</v>
      </c>
      <c r="M170" s="8" t="s">
        <v>46</v>
      </c>
      <c r="N170" s="8" t="s">
        <v>256</v>
      </c>
      <c r="O170" s="8" t="s">
        <v>120</v>
      </c>
      <c r="P170" s="5">
        <v>3</v>
      </c>
      <c r="Q170" s="5"/>
      <c r="R170" s="5"/>
      <c r="S170" s="5"/>
      <c r="T170" s="5">
        <v>3</v>
      </c>
      <c r="U170" s="5">
        <v>4</v>
      </c>
      <c r="V170" s="5">
        <v>2</v>
      </c>
      <c r="W170" s="5">
        <v>1</v>
      </c>
      <c r="X170" s="16">
        <f>Lit_rev_final[[#This Row],[Foundationality_1_5]]*0.35+Lit_rev_final[[#This Row],[Topic_Fit_1_5]]*0.35+Lit_rev_final[[#This Row],[Outlet_Quality_1_5]]*0.2+(0.1*Lit_rev_final[[#This Row],[Bridge_Value_0_3]]/3*5)</f>
        <v>3.0166666666666662</v>
      </c>
      <c r="Y170" s="10" t="s">
        <v>581</v>
      </c>
      <c r="Z170" s="5" t="s">
        <v>156</v>
      </c>
      <c r="AA170" s="5" t="s">
        <v>46</v>
      </c>
      <c r="AB170" s="5" t="s">
        <v>46</v>
      </c>
      <c r="AC170" s="16" t="s">
        <v>1102</v>
      </c>
      <c r="AJ170" s="2"/>
    </row>
    <row r="171" spans="1:36" ht="30" customHeight="1" x14ac:dyDescent="0.15">
      <c r="A171" s="5" t="s">
        <v>156</v>
      </c>
      <c r="B171" s="8" t="s">
        <v>1103</v>
      </c>
      <c r="C171" s="8" t="s">
        <v>1104</v>
      </c>
      <c r="D171" s="8" t="s">
        <v>1105</v>
      </c>
      <c r="E171" s="8" t="s">
        <v>404</v>
      </c>
      <c r="F171" s="5">
        <v>2026</v>
      </c>
      <c r="G171" s="5"/>
      <c r="H171" s="5"/>
      <c r="I171" s="8" t="s">
        <v>1106</v>
      </c>
      <c r="J171" s="13" t="s">
        <v>1107</v>
      </c>
      <c r="K171" s="8" t="s">
        <v>303</v>
      </c>
      <c r="L171" s="5" t="s">
        <v>233</v>
      </c>
      <c r="M171" s="8" t="s">
        <v>234</v>
      </c>
      <c r="N171" s="8" t="s">
        <v>256</v>
      </c>
      <c r="O171" s="8" t="s">
        <v>120</v>
      </c>
      <c r="P171" s="5">
        <v>3</v>
      </c>
      <c r="Q171" s="5"/>
      <c r="R171" s="5"/>
      <c r="S171" s="5"/>
      <c r="T171" s="5">
        <v>3</v>
      </c>
      <c r="U171" s="5">
        <v>4</v>
      </c>
      <c r="V171" s="5">
        <v>2</v>
      </c>
      <c r="W171" s="5">
        <v>1</v>
      </c>
      <c r="X171" s="16">
        <f>Lit_rev_final[[#This Row],[Foundationality_1_5]]*0.35+Lit_rev_final[[#This Row],[Topic_Fit_1_5]]*0.35+Lit_rev_final[[#This Row],[Outlet_Quality_1_5]]*0.2+(0.1*Lit_rev_final[[#This Row],[Bridge_Value_0_3]]/3*5)</f>
        <v>3.0166666666666662</v>
      </c>
      <c r="Y171" s="10" t="s">
        <v>581</v>
      </c>
      <c r="Z171" s="5" t="s">
        <v>156</v>
      </c>
      <c r="AA171" s="5" t="s">
        <v>46</v>
      </c>
      <c r="AB171" s="5" t="s">
        <v>46</v>
      </c>
      <c r="AC171" s="16" t="s">
        <v>1108</v>
      </c>
      <c r="AJ171" s="2"/>
    </row>
    <row r="172" spans="1:36" ht="30" customHeight="1" x14ac:dyDescent="0.15">
      <c r="A172" s="5" t="s">
        <v>156</v>
      </c>
      <c r="B172" s="8" t="s">
        <v>1109</v>
      </c>
      <c r="C172" s="8" t="s">
        <v>1110</v>
      </c>
      <c r="D172" s="8" t="s">
        <v>1111</v>
      </c>
      <c r="E172" s="8" t="s">
        <v>374</v>
      </c>
      <c r="F172" s="5">
        <v>2025</v>
      </c>
      <c r="G172" s="5"/>
      <c r="H172" s="5"/>
      <c r="I172" s="8" t="s">
        <v>1112</v>
      </c>
      <c r="J172" s="13" t="s">
        <v>1113</v>
      </c>
      <c r="K172" s="8" t="s">
        <v>377</v>
      </c>
      <c r="L172" s="5" t="s">
        <v>233</v>
      </c>
      <c r="M172" s="8" t="s">
        <v>46</v>
      </c>
      <c r="N172" s="8" t="s">
        <v>256</v>
      </c>
      <c r="O172" s="8" t="s">
        <v>120</v>
      </c>
      <c r="P172" s="5">
        <v>3</v>
      </c>
      <c r="Q172" s="5"/>
      <c r="R172" s="5"/>
      <c r="S172" s="5"/>
      <c r="T172" s="5">
        <v>3</v>
      </c>
      <c r="U172" s="5">
        <v>4</v>
      </c>
      <c r="V172" s="5">
        <v>2</v>
      </c>
      <c r="W172" s="5">
        <v>1</v>
      </c>
      <c r="X172" s="16">
        <f>Lit_rev_final[[#This Row],[Foundationality_1_5]]*0.35+Lit_rev_final[[#This Row],[Topic_Fit_1_5]]*0.35+Lit_rev_final[[#This Row],[Outlet_Quality_1_5]]*0.2+(0.1*Lit_rev_final[[#This Row],[Bridge_Value_0_3]]/3*5)</f>
        <v>3.0166666666666662</v>
      </c>
      <c r="Y172" s="10" t="s">
        <v>851</v>
      </c>
      <c r="Z172" s="5" t="s">
        <v>156</v>
      </c>
      <c r="AA172" s="5" t="s">
        <v>46</v>
      </c>
      <c r="AB172" s="5" t="s">
        <v>46</v>
      </c>
      <c r="AC172" s="16" t="s">
        <v>1114</v>
      </c>
      <c r="AJ172" s="2"/>
    </row>
    <row r="173" spans="1:36" ht="30" customHeight="1" x14ac:dyDescent="0.15">
      <c r="A173" s="7" t="s">
        <v>30</v>
      </c>
      <c r="B173" s="8" t="s">
        <v>1115</v>
      </c>
      <c r="C173" s="8" t="s">
        <v>1116</v>
      </c>
      <c r="D173" s="8" t="s">
        <v>373</v>
      </c>
      <c r="E173" s="8" t="s">
        <v>374</v>
      </c>
      <c r="F173" s="5">
        <v>2025</v>
      </c>
      <c r="G173" s="5"/>
      <c r="H173" s="5"/>
      <c r="I173" s="8" t="s">
        <v>1117</v>
      </c>
      <c r="J173" s="13" t="s">
        <v>1118</v>
      </c>
      <c r="K173" s="8" t="s">
        <v>377</v>
      </c>
      <c r="L173" s="5" t="s">
        <v>233</v>
      </c>
      <c r="M173" s="8" t="s">
        <v>46</v>
      </c>
      <c r="N173" s="8" t="s">
        <v>256</v>
      </c>
      <c r="O173" s="8" t="s">
        <v>120</v>
      </c>
      <c r="P173" s="5">
        <v>3</v>
      </c>
      <c r="Q173" s="5"/>
      <c r="R173" s="5"/>
      <c r="S173" s="5"/>
      <c r="T173" s="5">
        <v>3</v>
      </c>
      <c r="U173" s="5">
        <v>4</v>
      </c>
      <c r="V173" s="5">
        <v>1</v>
      </c>
      <c r="W173" s="5">
        <v>2</v>
      </c>
      <c r="X173" s="16">
        <f>Lit_rev_final[[#This Row],[Foundationality_1_5]]*0.35+Lit_rev_final[[#This Row],[Topic_Fit_1_5]]*0.35+Lit_rev_final[[#This Row],[Outlet_Quality_1_5]]*0.2+(0.1*Lit_rev_final[[#This Row],[Bridge_Value_0_3]]/3*5)</f>
        <v>2.9833333333333334</v>
      </c>
      <c r="Y173" s="10" t="s">
        <v>352</v>
      </c>
      <c r="Z173" s="5" t="s">
        <v>156</v>
      </c>
      <c r="AA173" s="5" t="s">
        <v>46</v>
      </c>
      <c r="AB173" s="5" t="s">
        <v>46</v>
      </c>
      <c r="AC173" s="16" t="s">
        <v>1119</v>
      </c>
      <c r="AJ173" s="2"/>
    </row>
    <row r="174" spans="1:36" ht="30" customHeight="1" x14ac:dyDescent="0.15">
      <c r="A174" s="7" t="s">
        <v>30</v>
      </c>
      <c r="B174" s="8" t="s">
        <v>1120</v>
      </c>
      <c r="C174" s="8" t="s">
        <v>1121</v>
      </c>
      <c r="D174" s="8" t="s">
        <v>1122</v>
      </c>
      <c r="E174" s="8" t="s">
        <v>382</v>
      </c>
      <c r="F174" s="5">
        <v>2025</v>
      </c>
      <c r="G174" s="5"/>
      <c r="H174" s="5"/>
      <c r="I174" s="8" t="s">
        <v>1123</v>
      </c>
      <c r="J174" s="13" t="s">
        <v>1124</v>
      </c>
      <c r="K174" s="8" t="s">
        <v>303</v>
      </c>
      <c r="L174" s="5" t="s">
        <v>233</v>
      </c>
      <c r="M174" s="8" t="s">
        <v>367</v>
      </c>
      <c r="N174" s="8" t="s">
        <v>256</v>
      </c>
      <c r="O174" s="8" t="s">
        <v>120</v>
      </c>
      <c r="P174" s="5">
        <v>3</v>
      </c>
      <c r="Q174" s="5"/>
      <c r="R174" s="5"/>
      <c r="S174" s="5"/>
      <c r="T174" s="5">
        <v>3</v>
      </c>
      <c r="U174" s="5">
        <v>4</v>
      </c>
      <c r="V174" s="5">
        <v>1</v>
      </c>
      <c r="W174" s="5">
        <v>2</v>
      </c>
      <c r="X174" s="16">
        <f>Lit_rev_final[[#This Row],[Foundationality_1_5]]*0.35+Lit_rev_final[[#This Row],[Topic_Fit_1_5]]*0.35+Lit_rev_final[[#This Row],[Outlet_Quality_1_5]]*0.2+(0.1*Lit_rev_final[[#This Row],[Bridge_Value_0_3]]/3*5)</f>
        <v>2.9833333333333334</v>
      </c>
      <c r="Y174" s="10" t="s">
        <v>352</v>
      </c>
      <c r="Z174" s="5" t="s">
        <v>156</v>
      </c>
      <c r="AA174" s="5" t="s">
        <v>46</v>
      </c>
      <c r="AB174" s="5" t="s">
        <v>46</v>
      </c>
      <c r="AC174" s="16" t="s">
        <v>1125</v>
      </c>
      <c r="AJ174" s="2"/>
    </row>
    <row r="175" spans="1:36" ht="30" customHeight="1" x14ac:dyDescent="0.15">
      <c r="A175" s="7" t="s">
        <v>30</v>
      </c>
      <c r="B175" s="8" t="s">
        <v>1126</v>
      </c>
      <c r="C175" s="8" t="s">
        <v>1127</v>
      </c>
      <c r="D175" s="8" t="s">
        <v>228</v>
      </c>
      <c r="E175" s="8" t="s">
        <v>229</v>
      </c>
      <c r="F175" s="5">
        <v>2018</v>
      </c>
      <c r="G175" s="5">
        <v>879</v>
      </c>
      <c r="H175" s="5">
        <v>887</v>
      </c>
      <c r="I175" s="8" t="s">
        <v>1128</v>
      </c>
      <c r="J175" s="13" t="s">
        <v>1129</v>
      </c>
      <c r="K175" s="8" t="s">
        <v>232</v>
      </c>
      <c r="L175" s="5" t="s">
        <v>233</v>
      </c>
      <c r="M175" s="8" t="s">
        <v>234</v>
      </c>
      <c r="N175" s="8" t="s">
        <v>256</v>
      </c>
      <c r="O175" s="8" t="s">
        <v>223</v>
      </c>
      <c r="P175" s="5">
        <v>3</v>
      </c>
      <c r="Q175" s="5" t="s">
        <v>67</v>
      </c>
      <c r="R175" s="5"/>
      <c r="S175" s="5" t="s">
        <v>69</v>
      </c>
      <c r="T175" s="5">
        <v>3</v>
      </c>
      <c r="U175" s="5">
        <v>3</v>
      </c>
      <c r="V175" s="5">
        <v>4</v>
      </c>
      <c r="W175" s="5">
        <v>0</v>
      </c>
      <c r="X175" s="16">
        <f>Lit_rev_final[[#This Row],[Foundationality_1_5]]*0.35+Lit_rev_final[[#This Row],[Topic_Fit_1_5]]*0.35+Lit_rev_final[[#This Row],[Outlet_Quality_1_5]]*0.2+(0.1*Lit_rev_final[[#This Row],[Bridge_Value_0_3]]/3*5)</f>
        <v>2.8999999999999995</v>
      </c>
      <c r="Y175" s="10" t="s">
        <v>566</v>
      </c>
      <c r="Z175" s="5" t="s">
        <v>156</v>
      </c>
      <c r="AA175" s="5" t="s">
        <v>46</v>
      </c>
      <c r="AB175" s="5" t="s">
        <v>46</v>
      </c>
      <c r="AC175" s="16" t="s">
        <v>1130</v>
      </c>
      <c r="AJ175" s="2"/>
    </row>
    <row r="176" spans="1:36" ht="30" customHeight="1" x14ac:dyDescent="0.15">
      <c r="A176" s="5" t="s">
        <v>156</v>
      </c>
      <c r="B176" s="8" t="s">
        <v>1131</v>
      </c>
      <c r="C176" s="8" t="s">
        <v>1132</v>
      </c>
      <c r="D176" s="8" t="s">
        <v>228</v>
      </c>
      <c r="E176" s="8" t="s">
        <v>229</v>
      </c>
      <c r="F176" s="5">
        <v>2019</v>
      </c>
      <c r="G176" s="5">
        <v>1232</v>
      </c>
      <c r="H176" s="5">
        <v>1239</v>
      </c>
      <c r="I176" s="8" t="s">
        <v>1133</v>
      </c>
      <c r="J176" s="13" t="s">
        <v>1134</v>
      </c>
      <c r="K176" s="8" t="s">
        <v>232</v>
      </c>
      <c r="L176" s="5" t="s">
        <v>233</v>
      </c>
      <c r="M176" s="8" t="s">
        <v>234</v>
      </c>
      <c r="N176" s="8" t="s">
        <v>256</v>
      </c>
      <c r="O176" s="8" t="s">
        <v>223</v>
      </c>
      <c r="P176" s="5">
        <v>3</v>
      </c>
      <c r="Q176" s="5" t="s">
        <v>67</v>
      </c>
      <c r="R176" s="5"/>
      <c r="S176" s="5" t="s">
        <v>69</v>
      </c>
      <c r="T176" s="5">
        <v>3</v>
      </c>
      <c r="U176" s="5">
        <v>3</v>
      </c>
      <c r="V176" s="5">
        <v>3</v>
      </c>
      <c r="W176" s="5">
        <v>1</v>
      </c>
      <c r="X176" s="16">
        <f>Lit_rev_final[[#This Row],[Foundationality_1_5]]*0.35+Lit_rev_final[[#This Row],[Topic_Fit_1_5]]*0.35+Lit_rev_final[[#This Row],[Outlet_Quality_1_5]]*0.2+(0.1*Lit_rev_final[[#This Row],[Bridge_Value_0_3]]/3*5)</f>
        <v>2.8666666666666663</v>
      </c>
      <c r="Y176" s="10" t="s">
        <v>566</v>
      </c>
      <c r="Z176" s="5" t="s">
        <v>156</v>
      </c>
      <c r="AA176" s="5" t="s">
        <v>46</v>
      </c>
      <c r="AB176" s="5" t="s">
        <v>46</v>
      </c>
      <c r="AC176" s="16" t="s">
        <v>1135</v>
      </c>
      <c r="AJ176" s="2"/>
    </row>
    <row r="177" spans="1:36" ht="30" customHeight="1" x14ac:dyDescent="0.15">
      <c r="A177" s="5" t="s">
        <v>156</v>
      </c>
      <c r="B177" s="8" t="s">
        <v>1136</v>
      </c>
      <c r="C177" s="8" t="s">
        <v>1137</v>
      </c>
      <c r="D177" s="8" t="s">
        <v>228</v>
      </c>
      <c r="E177" s="8" t="s">
        <v>229</v>
      </c>
      <c r="F177" s="5">
        <v>2020</v>
      </c>
      <c r="G177" s="5"/>
      <c r="H177" s="5"/>
      <c r="I177" s="8" t="s">
        <v>1138</v>
      </c>
      <c r="J177" s="13" t="s">
        <v>1139</v>
      </c>
      <c r="K177" s="8" t="s">
        <v>232</v>
      </c>
      <c r="L177" s="5" t="s">
        <v>233</v>
      </c>
      <c r="M177" s="8" t="s">
        <v>234</v>
      </c>
      <c r="N177" s="8" t="s">
        <v>256</v>
      </c>
      <c r="O177" s="8" t="s">
        <v>223</v>
      </c>
      <c r="P177" s="5">
        <v>3</v>
      </c>
      <c r="Q177" s="5" t="s">
        <v>67</v>
      </c>
      <c r="R177" s="5"/>
      <c r="S177" s="5" t="s">
        <v>69</v>
      </c>
      <c r="T177" s="5">
        <v>3</v>
      </c>
      <c r="U177" s="5">
        <v>3</v>
      </c>
      <c r="V177" s="5">
        <v>3</v>
      </c>
      <c r="W177" s="5">
        <v>1</v>
      </c>
      <c r="X177" s="16">
        <f>Lit_rev_final[[#This Row],[Foundationality_1_5]]*0.35+Lit_rev_final[[#This Row],[Topic_Fit_1_5]]*0.35+Lit_rev_final[[#This Row],[Outlet_Quality_1_5]]*0.2+(0.1*Lit_rev_final[[#This Row],[Bridge_Value_0_3]]/3*5)</f>
        <v>2.8666666666666663</v>
      </c>
      <c r="Y177" s="10" t="s">
        <v>566</v>
      </c>
      <c r="Z177" s="5" t="s">
        <v>156</v>
      </c>
      <c r="AA177" s="5" t="s">
        <v>46</v>
      </c>
      <c r="AB177" s="5" t="s">
        <v>46</v>
      </c>
      <c r="AC177" s="16" t="s">
        <v>1140</v>
      </c>
      <c r="AJ177" s="2"/>
    </row>
    <row r="178" spans="1:36" ht="30" customHeight="1" x14ac:dyDescent="0.15">
      <c r="A178" s="5" t="s">
        <v>156</v>
      </c>
      <c r="B178" s="8" t="s">
        <v>1141</v>
      </c>
      <c r="C178" s="8" t="s">
        <v>1142</v>
      </c>
      <c r="D178" s="8" t="s">
        <v>228</v>
      </c>
      <c r="E178" s="8" t="s">
        <v>229</v>
      </c>
      <c r="F178" s="5">
        <v>2022</v>
      </c>
      <c r="G178" s="5"/>
      <c r="H178" s="5"/>
      <c r="I178" s="8" t="s">
        <v>1143</v>
      </c>
      <c r="J178" s="13" t="s">
        <v>1144</v>
      </c>
      <c r="K178" s="8" t="s">
        <v>232</v>
      </c>
      <c r="L178" s="5" t="s">
        <v>233</v>
      </c>
      <c r="M178" s="8" t="s">
        <v>234</v>
      </c>
      <c r="N178" s="8" t="s">
        <v>256</v>
      </c>
      <c r="O178" s="8" t="s">
        <v>223</v>
      </c>
      <c r="P178" s="5">
        <v>3</v>
      </c>
      <c r="Q178" s="5" t="s">
        <v>67</v>
      </c>
      <c r="R178" s="5"/>
      <c r="S178" s="5" t="s">
        <v>69</v>
      </c>
      <c r="T178" s="5">
        <v>3</v>
      </c>
      <c r="U178" s="5">
        <v>3</v>
      </c>
      <c r="V178" s="5">
        <v>3</v>
      </c>
      <c r="W178" s="5">
        <v>1</v>
      </c>
      <c r="X178" s="16">
        <f>Lit_rev_final[[#This Row],[Foundationality_1_5]]*0.35+Lit_rev_final[[#This Row],[Topic_Fit_1_5]]*0.35+Lit_rev_final[[#This Row],[Outlet_Quality_1_5]]*0.2+(0.1*Lit_rev_final[[#This Row],[Bridge_Value_0_3]]/3*5)</f>
        <v>2.8666666666666663</v>
      </c>
      <c r="Y178" s="10" t="s">
        <v>566</v>
      </c>
      <c r="Z178" s="5" t="s">
        <v>156</v>
      </c>
      <c r="AA178" s="5" t="s">
        <v>46</v>
      </c>
      <c r="AB178" s="5" t="s">
        <v>46</v>
      </c>
      <c r="AC178" s="16" t="s">
        <v>1145</v>
      </c>
      <c r="AJ178" s="2"/>
    </row>
    <row r="179" spans="1:36" ht="30" customHeight="1" x14ac:dyDescent="0.15">
      <c r="A179" s="5" t="s">
        <v>156</v>
      </c>
      <c r="B179" s="8" t="s">
        <v>1146</v>
      </c>
      <c r="C179" s="8" t="s">
        <v>1147</v>
      </c>
      <c r="D179" s="8" t="s">
        <v>449</v>
      </c>
      <c r="E179" s="8" t="s">
        <v>411</v>
      </c>
      <c r="F179" s="5">
        <v>2025</v>
      </c>
      <c r="G179" s="5"/>
      <c r="H179" s="5"/>
      <c r="I179" s="8" t="s">
        <v>1148</v>
      </c>
      <c r="J179" s="13" t="s">
        <v>1149</v>
      </c>
      <c r="K179" s="8" t="s">
        <v>303</v>
      </c>
      <c r="L179" s="5" t="s">
        <v>233</v>
      </c>
      <c r="M179" s="8" t="s">
        <v>367</v>
      </c>
      <c r="N179" s="8" t="s">
        <v>256</v>
      </c>
      <c r="O179" s="8" t="s">
        <v>223</v>
      </c>
      <c r="P179" s="5">
        <v>3</v>
      </c>
      <c r="Q179" s="5"/>
      <c r="R179" s="5" t="s">
        <v>174</v>
      </c>
      <c r="S179" s="5"/>
      <c r="T179" s="5">
        <v>3</v>
      </c>
      <c r="U179" s="5">
        <v>3</v>
      </c>
      <c r="V179" s="5">
        <v>3</v>
      </c>
      <c r="W179" s="5">
        <v>1</v>
      </c>
      <c r="X179" s="16">
        <f>Lit_rev_final[[#This Row],[Foundationality_1_5]]*0.35+Lit_rev_final[[#This Row],[Topic_Fit_1_5]]*0.35+Lit_rev_final[[#This Row],[Outlet_Quality_1_5]]*0.2+(0.1*Lit_rev_final[[#This Row],[Bridge_Value_0_3]]/3*5)</f>
        <v>2.8666666666666663</v>
      </c>
      <c r="Y179" s="10" t="s">
        <v>626</v>
      </c>
      <c r="Z179" s="5" t="s">
        <v>156</v>
      </c>
      <c r="AA179" s="5" t="s">
        <v>46</v>
      </c>
      <c r="AB179" s="5" t="s">
        <v>46</v>
      </c>
      <c r="AC179" s="16" t="s">
        <v>1150</v>
      </c>
      <c r="AJ179" s="2"/>
    </row>
    <row r="180" spans="1:36" ht="30" customHeight="1" x14ac:dyDescent="0.15">
      <c r="A180" s="7" t="s">
        <v>30</v>
      </c>
      <c r="B180" s="8" t="s">
        <v>1151</v>
      </c>
      <c r="C180" s="8" t="s">
        <v>1152</v>
      </c>
      <c r="D180" s="8" t="s">
        <v>1153</v>
      </c>
      <c r="E180" s="8" t="s">
        <v>1154</v>
      </c>
      <c r="F180" s="5">
        <v>2025</v>
      </c>
      <c r="G180" s="5"/>
      <c r="H180" s="5"/>
      <c r="I180" s="8" t="s">
        <v>1155</v>
      </c>
      <c r="J180" s="13" t="s">
        <v>1156</v>
      </c>
      <c r="K180" s="8" t="s">
        <v>232</v>
      </c>
      <c r="L180" s="5" t="s">
        <v>233</v>
      </c>
      <c r="M180" s="8" t="s">
        <v>234</v>
      </c>
      <c r="N180" s="8" t="s">
        <v>256</v>
      </c>
      <c r="O180" s="8" t="s">
        <v>223</v>
      </c>
      <c r="P180" s="5">
        <v>3</v>
      </c>
      <c r="Q180" s="5"/>
      <c r="R180" s="5"/>
      <c r="S180" s="5"/>
      <c r="T180" s="5">
        <v>4</v>
      </c>
      <c r="U180" s="5">
        <v>3</v>
      </c>
      <c r="V180" s="5">
        <v>2</v>
      </c>
      <c r="W180" s="5">
        <v>0</v>
      </c>
      <c r="X180" s="16">
        <f>Lit_rev_final[[#This Row],[Foundationality_1_5]]*0.35+Lit_rev_final[[#This Row],[Topic_Fit_1_5]]*0.35+Lit_rev_final[[#This Row],[Outlet_Quality_1_5]]*0.2+(0.1*Lit_rev_final[[#This Row],[Bridge_Value_0_3]]/3*5)</f>
        <v>2.8499999999999996</v>
      </c>
      <c r="Y180" s="10" t="s">
        <v>566</v>
      </c>
      <c r="Z180" s="5" t="s">
        <v>156</v>
      </c>
      <c r="AA180" s="5" t="s">
        <v>46</v>
      </c>
      <c r="AB180" s="5" t="s">
        <v>46</v>
      </c>
      <c r="AC180" s="16" t="s">
        <v>1157</v>
      </c>
      <c r="AJ180" s="2"/>
    </row>
    <row r="181" spans="1:36" ht="30" customHeight="1" x14ac:dyDescent="0.15">
      <c r="A181" s="7" t="s">
        <v>30</v>
      </c>
      <c r="B181" s="8" t="s">
        <v>1158</v>
      </c>
      <c r="C181" s="8" t="s">
        <v>1159</v>
      </c>
      <c r="D181" s="8" t="s">
        <v>337</v>
      </c>
      <c r="E181" s="8" t="s">
        <v>411</v>
      </c>
      <c r="F181" s="5">
        <v>2026</v>
      </c>
      <c r="G181" s="5"/>
      <c r="H181" s="5"/>
      <c r="I181" s="8" t="s">
        <v>1160</v>
      </c>
      <c r="J181" s="13" t="s">
        <v>1161</v>
      </c>
      <c r="K181" s="8" t="s">
        <v>303</v>
      </c>
      <c r="L181" s="5" t="s">
        <v>233</v>
      </c>
      <c r="M181" s="8" t="s">
        <v>367</v>
      </c>
      <c r="N181" s="8" t="s">
        <v>256</v>
      </c>
      <c r="O181" s="8" t="s">
        <v>120</v>
      </c>
      <c r="P181" s="5">
        <v>3</v>
      </c>
      <c r="Q181" s="5"/>
      <c r="R181" s="5" t="s">
        <v>174</v>
      </c>
      <c r="S181" s="5"/>
      <c r="T181" s="5">
        <v>3</v>
      </c>
      <c r="U181" s="5">
        <v>4</v>
      </c>
      <c r="V181" s="5">
        <v>2</v>
      </c>
      <c r="W181" s="5">
        <v>0</v>
      </c>
      <c r="X181" s="16">
        <f>Lit_rev_final[[#This Row],[Foundationality_1_5]]*0.35+Lit_rev_final[[#This Row],[Topic_Fit_1_5]]*0.35+Lit_rev_final[[#This Row],[Outlet_Quality_1_5]]*0.2+(0.1*Lit_rev_final[[#This Row],[Bridge_Value_0_3]]/3*5)</f>
        <v>2.8499999999999996</v>
      </c>
      <c r="Y181" s="10" t="s">
        <v>236</v>
      </c>
      <c r="Z181" s="5" t="s">
        <v>156</v>
      </c>
      <c r="AA181" s="5" t="s">
        <v>46</v>
      </c>
      <c r="AB181" s="5" t="s">
        <v>46</v>
      </c>
      <c r="AC181" s="16" t="s">
        <v>1162</v>
      </c>
      <c r="AJ181" s="2"/>
    </row>
    <row r="182" spans="1:36" ht="30" hidden="1" customHeight="1" x14ac:dyDescent="0.15">
      <c r="A182" s="7" t="s">
        <v>30</v>
      </c>
      <c r="B182" s="8" t="s">
        <v>1163</v>
      </c>
      <c r="C182" s="8" t="s">
        <v>1164</v>
      </c>
      <c r="D182" s="8" t="s">
        <v>1165</v>
      </c>
      <c r="E182" s="8"/>
      <c r="F182" s="5">
        <v>2018</v>
      </c>
      <c r="G182" s="5">
        <v>771</v>
      </c>
      <c r="H182" s="5">
        <v>795</v>
      </c>
      <c r="I182" s="8" t="s">
        <v>1166</v>
      </c>
      <c r="J182" s="13" t="s">
        <v>1167</v>
      </c>
      <c r="K182" s="8" t="s">
        <v>303</v>
      </c>
      <c r="L182" s="5" t="s">
        <v>38</v>
      </c>
      <c r="M182" s="8" t="s">
        <v>340</v>
      </c>
      <c r="N182" s="8" t="s">
        <v>256</v>
      </c>
      <c r="O182" s="8" t="s">
        <v>112</v>
      </c>
      <c r="P182" s="5">
        <v>3</v>
      </c>
      <c r="Q182" s="5" t="s">
        <v>351</v>
      </c>
      <c r="R182" s="5" t="s">
        <v>1168</v>
      </c>
      <c r="S182" s="5" t="s">
        <v>69</v>
      </c>
      <c r="T182" s="5">
        <v>3</v>
      </c>
      <c r="U182" s="5">
        <v>3</v>
      </c>
      <c r="V182" s="5">
        <v>2</v>
      </c>
      <c r="W182" s="5">
        <v>2</v>
      </c>
      <c r="X182" s="16">
        <f>Lit_rev_final[[#This Row],[Foundationality_1_5]]*0.35+Lit_rev_final[[#This Row],[Topic_Fit_1_5]]*0.35+Lit_rev_final[[#This Row],[Outlet_Quality_1_5]]*0.2+(0.1*Lit_rev_final[[#This Row],[Bridge_Value_0_3]]/3*5)</f>
        <v>2.833333333333333</v>
      </c>
      <c r="Y182" s="10" t="s">
        <v>452</v>
      </c>
      <c r="Z182" s="5" t="s">
        <v>156</v>
      </c>
      <c r="AA182" s="5" t="s">
        <v>46</v>
      </c>
      <c r="AB182" s="5" t="s">
        <v>46</v>
      </c>
      <c r="AC182" s="5" t="s">
        <v>46</v>
      </c>
      <c r="AJ182" s="2"/>
    </row>
    <row r="183" spans="1:36" ht="30" hidden="1" customHeight="1" x14ac:dyDescent="0.15">
      <c r="A183" s="7" t="s">
        <v>30</v>
      </c>
      <c r="B183" s="8" t="s">
        <v>1169</v>
      </c>
      <c r="C183" s="8" t="s">
        <v>1170</v>
      </c>
      <c r="D183" s="8" t="s">
        <v>1171</v>
      </c>
      <c r="E183" s="8"/>
      <c r="F183" s="5">
        <v>2025</v>
      </c>
      <c r="G183" s="5"/>
      <c r="H183" s="5"/>
      <c r="I183" s="8" t="s">
        <v>1172</v>
      </c>
      <c r="J183" s="13" t="s">
        <v>1173</v>
      </c>
      <c r="K183" s="8" t="s">
        <v>303</v>
      </c>
      <c r="L183" s="5" t="s">
        <v>38</v>
      </c>
      <c r="M183" s="8" t="s">
        <v>340</v>
      </c>
      <c r="N183" s="8" t="s">
        <v>256</v>
      </c>
      <c r="O183" s="8" t="s">
        <v>112</v>
      </c>
      <c r="P183" s="5">
        <v>3</v>
      </c>
      <c r="Q183" s="5" t="s">
        <v>67</v>
      </c>
      <c r="R183" s="5" t="s">
        <v>1174</v>
      </c>
      <c r="S183" s="5" t="s">
        <v>69</v>
      </c>
      <c r="T183" s="5">
        <v>3</v>
      </c>
      <c r="U183" s="5">
        <v>3</v>
      </c>
      <c r="V183" s="5">
        <v>2</v>
      </c>
      <c r="W183" s="5">
        <v>2</v>
      </c>
      <c r="X183" s="16">
        <f>Lit_rev_final[[#This Row],[Foundationality_1_5]]*0.35+Lit_rev_final[[#This Row],[Topic_Fit_1_5]]*0.35+Lit_rev_final[[#This Row],[Outlet_Quality_1_5]]*0.2+(0.1*Lit_rev_final[[#This Row],[Bridge_Value_0_3]]/3*5)</f>
        <v>2.833333333333333</v>
      </c>
      <c r="Y183" s="10" t="s">
        <v>452</v>
      </c>
      <c r="Z183" s="5" t="s">
        <v>156</v>
      </c>
      <c r="AA183" s="5" t="s">
        <v>46</v>
      </c>
      <c r="AB183" s="5" t="s">
        <v>46</v>
      </c>
      <c r="AC183" s="5" t="s">
        <v>46</v>
      </c>
      <c r="AJ183" s="2"/>
    </row>
    <row r="184" spans="1:36" ht="30" customHeight="1" x14ac:dyDescent="0.15">
      <c r="A184" s="7" t="s">
        <v>30</v>
      </c>
      <c r="B184" s="8" t="s">
        <v>1175</v>
      </c>
      <c r="C184" s="8" t="s">
        <v>1176</v>
      </c>
      <c r="D184" s="8" t="s">
        <v>522</v>
      </c>
      <c r="E184" s="8" t="s">
        <v>374</v>
      </c>
      <c r="F184" s="5">
        <v>2024</v>
      </c>
      <c r="G184" s="5"/>
      <c r="H184" s="5"/>
      <c r="I184" s="8" t="s">
        <v>1177</v>
      </c>
      <c r="J184" s="13" t="s">
        <v>1178</v>
      </c>
      <c r="K184" s="8" t="s">
        <v>232</v>
      </c>
      <c r="L184" s="5" t="s">
        <v>233</v>
      </c>
      <c r="M184" s="8" t="s">
        <v>392</v>
      </c>
      <c r="N184" s="8" t="s">
        <v>256</v>
      </c>
      <c r="O184" s="8" t="s">
        <v>120</v>
      </c>
      <c r="P184" s="5">
        <v>3</v>
      </c>
      <c r="Q184" s="5"/>
      <c r="R184" s="5"/>
      <c r="S184" s="5"/>
      <c r="T184" s="5">
        <v>3</v>
      </c>
      <c r="U184" s="5">
        <v>4</v>
      </c>
      <c r="V184" s="5">
        <v>1</v>
      </c>
      <c r="W184" s="5">
        <v>1</v>
      </c>
      <c r="X184" s="16">
        <f>Lit_rev_final[[#This Row],[Foundationality_1_5]]*0.35+Lit_rev_final[[#This Row],[Topic_Fit_1_5]]*0.35+Lit_rev_final[[#This Row],[Outlet_Quality_1_5]]*0.2+(0.1*Lit_rev_final[[#This Row],[Bridge_Value_0_3]]/3*5)</f>
        <v>2.8166666666666664</v>
      </c>
      <c r="Y184" s="10" t="s">
        <v>352</v>
      </c>
      <c r="Z184" s="5" t="s">
        <v>156</v>
      </c>
      <c r="AA184" s="5" t="s">
        <v>46</v>
      </c>
      <c r="AB184" s="5" t="s">
        <v>46</v>
      </c>
      <c r="AC184" s="16" t="s">
        <v>1179</v>
      </c>
      <c r="AJ184" s="2"/>
    </row>
    <row r="185" spans="1:36" ht="30" customHeight="1" x14ac:dyDescent="0.15">
      <c r="A185" s="5" t="s">
        <v>156</v>
      </c>
      <c r="B185" s="8" t="s">
        <v>1180</v>
      </c>
      <c r="C185" s="8" t="s">
        <v>1181</v>
      </c>
      <c r="D185" s="8" t="s">
        <v>1182</v>
      </c>
      <c r="E185" s="8" t="s">
        <v>253</v>
      </c>
      <c r="F185" s="5">
        <v>2015</v>
      </c>
      <c r="G185" s="5">
        <v>1</v>
      </c>
      <c r="H185" s="5">
        <v>16</v>
      </c>
      <c r="I185" s="8" t="s">
        <v>1183</v>
      </c>
      <c r="J185" s="13" t="s">
        <v>1184</v>
      </c>
      <c r="K185" s="8" t="s">
        <v>232</v>
      </c>
      <c r="L185" s="5" t="s">
        <v>233</v>
      </c>
      <c r="M185" s="8" t="s">
        <v>234</v>
      </c>
      <c r="N185" s="8" t="s">
        <v>256</v>
      </c>
      <c r="O185" s="8" t="s">
        <v>223</v>
      </c>
      <c r="P185" s="5">
        <v>3</v>
      </c>
      <c r="Q185" s="5"/>
      <c r="R185" s="5"/>
      <c r="S185" s="5"/>
      <c r="T185" s="5">
        <v>3</v>
      </c>
      <c r="U185" s="5">
        <v>3</v>
      </c>
      <c r="V185" s="5">
        <v>2</v>
      </c>
      <c r="W185" s="5">
        <v>1</v>
      </c>
      <c r="X185" s="16">
        <f>Lit_rev_final[[#This Row],[Foundationality_1_5]]*0.35+Lit_rev_final[[#This Row],[Topic_Fit_1_5]]*0.35+Lit_rev_final[[#This Row],[Outlet_Quality_1_5]]*0.2+(0.1*Lit_rev_final[[#This Row],[Bridge_Value_0_3]]/3*5)</f>
        <v>2.6666666666666661</v>
      </c>
      <c r="Y185" s="10" t="s">
        <v>626</v>
      </c>
      <c r="Z185" s="5" t="s">
        <v>156</v>
      </c>
      <c r="AA185" s="5" t="s">
        <v>46</v>
      </c>
      <c r="AB185" s="5" t="s">
        <v>46</v>
      </c>
      <c r="AC185" s="16" t="s">
        <v>1185</v>
      </c>
      <c r="AJ185" s="2"/>
    </row>
    <row r="186" spans="1:36" ht="30" customHeight="1" x14ac:dyDescent="0.15">
      <c r="A186" s="5" t="s">
        <v>156</v>
      </c>
      <c r="B186" s="8" t="s">
        <v>1186</v>
      </c>
      <c r="C186" s="8" t="s">
        <v>1187</v>
      </c>
      <c r="D186" s="8" t="s">
        <v>898</v>
      </c>
      <c r="E186" s="8" t="s">
        <v>411</v>
      </c>
      <c r="F186" s="5">
        <v>2026</v>
      </c>
      <c r="G186" s="5"/>
      <c r="H186" s="5"/>
      <c r="I186" s="8" t="s">
        <v>1188</v>
      </c>
      <c r="J186" s="13" t="s">
        <v>1189</v>
      </c>
      <c r="K186" s="8" t="s">
        <v>303</v>
      </c>
      <c r="L186" s="5" t="s">
        <v>233</v>
      </c>
      <c r="M186" s="8" t="s">
        <v>367</v>
      </c>
      <c r="N186" s="8" t="s">
        <v>256</v>
      </c>
      <c r="O186" s="8" t="s">
        <v>120</v>
      </c>
      <c r="P186" s="5">
        <v>3</v>
      </c>
      <c r="Q186" s="5"/>
      <c r="R186" s="5"/>
      <c r="S186" s="5"/>
      <c r="T186" s="5">
        <v>3</v>
      </c>
      <c r="U186" s="5">
        <v>3</v>
      </c>
      <c r="V186" s="5">
        <v>2</v>
      </c>
      <c r="W186" s="5">
        <v>1</v>
      </c>
      <c r="X186" s="16">
        <f>Lit_rev_final[[#This Row],[Foundationality_1_5]]*0.35+Lit_rev_final[[#This Row],[Topic_Fit_1_5]]*0.35+Lit_rev_final[[#This Row],[Outlet_Quality_1_5]]*0.2+(0.1*Lit_rev_final[[#This Row],[Bridge_Value_0_3]]/3*5)</f>
        <v>2.6666666666666661</v>
      </c>
      <c r="Y186" s="10" t="s">
        <v>851</v>
      </c>
      <c r="Z186" s="5" t="s">
        <v>156</v>
      </c>
      <c r="AA186" s="5" t="s">
        <v>46</v>
      </c>
      <c r="AB186" s="5" t="s">
        <v>46</v>
      </c>
      <c r="AC186" s="16" t="s">
        <v>1190</v>
      </c>
      <c r="AJ186" s="2"/>
    </row>
    <row r="187" spans="1:36" ht="30" customHeight="1" x14ac:dyDescent="0.15">
      <c r="A187" s="5" t="s">
        <v>156</v>
      </c>
      <c r="B187" s="8" t="s">
        <v>1191</v>
      </c>
      <c r="C187" s="8" t="s">
        <v>1192</v>
      </c>
      <c r="D187" s="8" t="s">
        <v>1193</v>
      </c>
      <c r="E187" s="8" t="s">
        <v>253</v>
      </c>
      <c r="F187" s="5">
        <v>2025</v>
      </c>
      <c r="G187" s="5">
        <v>64</v>
      </c>
      <c r="H187" s="5">
        <v>94</v>
      </c>
      <c r="I187" s="8" t="s">
        <v>1194</v>
      </c>
      <c r="J187" s="13" t="s">
        <v>1195</v>
      </c>
      <c r="K187" s="8" t="s">
        <v>232</v>
      </c>
      <c r="L187" s="5" t="s">
        <v>233</v>
      </c>
      <c r="M187" s="8" t="s">
        <v>234</v>
      </c>
      <c r="N187" s="8" t="s">
        <v>256</v>
      </c>
      <c r="O187" s="8" t="s">
        <v>223</v>
      </c>
      <c r="P187" s="5">
        <v>3</v>
      </c>
      <c r="Q187" s="5"/>
      <c r="R187" s="5"/>
      <c r="S187" s="5"/>
      <c r="T187" s="5">
        <v>3</v>
      </c>
      <c r="U187" s="5">
        <v>3</v>
      </c>
      <c r="V187" s="5">
        <v>2</v>
      </c>
      <c r="W187" s="5">
        <v>1</v>
      </c>
      <c r="X187" s="16">
        <f>Lit_rev_final[[#This Row],[Foundationality_1_5]]*0.35+Lit_rev_final[[#This Row],[Topic_Fit_1_5]]*0.35+Lit_rev_final[[#This Row],[Outlet_Quality_1_5]]*0.2+(0.1*Lit_rev_final[[#This Row],[Bridge_Value_0_3]]/3*5)</f>
        <v>2.6666666666666661</v>
      </c>
      <c r="Y187" s="10" t="s">
        <v>626</v>
      </c>
      <c r="Z187" s="5" t="s">
        <v>156</v>
      </c>
      <c r="AA187" s="5" t="s">
        <v>46</v>
      </c>
      <c r="AB187" s="5" t="s">
        <v>46</v>
      </c>
      <c r="AC187" s="16" t="s">
        <v>1196</v>
      </c>
      <c r="AJ187" s="2"/>
    </row>
    <row r="188" spans="1:36" ht="30" customHeight="1" x14ac:dyDescent="0.15">
      <c r="A188" s="5" t="s">
        <v>156</v>
      </c>
      <c r="B188" s="8" t="s">
        <v>1197</v>
      </c>
      <c r="C188" s="8" t="s">
        <v>1198</v>
      </c>
      <c r="D188" s="8" t="s">
        <v>1199</v>
      </c>
      <c r="E188" s="8" t="s">
        <v>374</v>
      </c>
      <c r="F188" s="5">
        <v>2025</v>
      </c>
      <c r="G188" s="5">
        <v>248</v>
      </c>
      <c r="H188" s="5">
        <v>252</v>
      </c>
      <c r="I188" s="8" t="s">
        <v>1200</v>
      </c>
      <c r="J188" s="13" t="s">
        <v>1201</v>
      </c>
      <c r="K188" s="8" t="s">
        <v>232</v>
      </c>
      <c r="L188" s="5" t="s">
        <v>233</v>
      </c>
      <c r="M188" s="8" t="s">
        <v>392</v>
      </c>
      <c r="N188" s="8" t="s">
        <v>256</v>
      </c>
      <c r="O188" s="8" t="s">
        <v>120</v>
      </c>
      <c r="P188" s="5">
        <v>3</v>
      </c>
      <c r="Q188" s="5"/>
      <c r="R188" s="5"/>
      <c r="S188" s="5"/>
      <c r="T188" s="5">
        <v>3</v>
      </c>
      <c r="U188" s="5">
        <v>3</v>
      </c>
      <c r="V188" s="5">
        <v>2</v>
      </c>
      <c r="W188" s="5">
        <v>1</v>
      </c>
      <c r="X188" s="16">
        <f>Lit_rev_final[[#This Row],[Foundationality_1_5]]*0.35+Lit_rev_final[[#This Row],[Topic_Fit_1_5]]*0.35+Lit_rev_final[[#This Row],[Outlet_Quality_1_5]]*0.2+(0.1*Lit_rev_final[[#This Row],[Bridge_Value_0_3]]/3*5)</f>
        <v>2.6666666666666661</v>
      </c>
      <c r="Y188" s="10" t="s">
        <v>1202</v>
      </c>
      <c r="Z188" s="5" t="s">
        <v>156</v>
      </c>
      <c r="AA188" s="5" t="s">
        <v>46</v>
      </c>
      <c r="AB188" s="5" t="s">
        <v>46</v>
      </c>
      <c r="AC188" s="16" t="s">
        <v>1203</v>
      </c>
      <c r="AJ188" s="2"/>
    </row>
    <row r="189" spans="1:36" ht="30" customHeight="1" x14ac:dyDescent="0.15">
      <c r="A189" s="5" t="s">
        <v>156</v>
      </c>
      <c r="B189" s="8" t="s">
        <v>1204</v>
      </c>
      <c r="C189" s="8" t="s">
        <v>1205</v>
      </c>
      <c r="D189" s="8" t="s">
        <v>693</v>
      </c>
      <c r="E189" s="8" t="s">
        <v>694</v>
      </c>
      <c r="F189" s="5">
        <v>2019</v>
      </c>
      <c r="G189" s="5"/>
      <c r="H189" s="5"/>
      <c r="I189" s="8"/>
      <c r="J189" s="13" t="s">
        <v>1206</v>
      </c>
      <c r="K189" s="8" t="s">
        <v>303</v>
      </c>
      <c r="L189" s="5" t="s">
        <v>233</v>
      </c>
      <c r="M189" s="8" t="s">
        <v>367</v>
      </c>
      <c r="N189" s="8" t="s">
        <v>256</v>
      </c>
      <c r="O189" s="8" t="s">
        <v>223</v>
      </c>
      <c r="P189" s="5">
        <v>3</v>
      </c>
      <c r="Q189" s="5"/>
      <c r="R189" s="5"/>
      <c r="S189" s="5"/>
      <c r="T189" s="5">
        <v>3</v>
      </c>
      <c r="U189" s="5">
        <v>3</v>
      </c>
      <c r="V189" s="5">
        <v>2</v>
      </c>
      <c r="W189" s="5">
        <v>1</v>
      </c>
      <c r="X189" s="16">
        <f>Lit_rev_final[[#This Row],[Foundationality_1_5]]*0.35+Lit_rev_final[[#This Row],[Topic_Fit_1_5]]*0.35+Lit_rev_final[[#This Row],[Outlet_Quality_1_5]]*0.2+(0.1*Lit_rev_final[[#This Row],[Bridge_Value_0_3]]/3*5)</f>
        <v>2.6666666666666661</v>
      </c>
      <c r="Y189" s="10" t="s">
        <v>566</v>
      </c>
      <c r="Z189" s="5" t="s">
        <v>156</v>
      </c>
      <c r="AA189" s="5" t="s">
        <v>46</v>
      </c>
      <c r="AB189" s="5" t="s">
        <v>46</v>
      </c>
      <c r="AC189" s="16" t="s">
        <v>1207</v>
      </c>
      <c r="AJ189" s="2"/>
    </row>
    <row r="190" spans="1:36" ht="30" customHeight="1" x14ac:dyDescent="0.15">
      <c r="A190" s="5" t="s">
        <v>156</v>
      </c>
      <c r="B190" s="8" t="s">
        <v>1208</v>
      </c>
      <c r="C190" s="8" t="s">
        <v>1209</v>
      </c>
      <c r="D190" s="8" t="s">
        <v>1210</v>
      </c>
      <c r="E190" s="8" t="s">
        <v>253</v>
      </c>
      <c r="F190" s="5">
        <v>2024</v>
      </c>
      <c r="G190" s="5">
        <v>2115</v>
      </c>
      <c r="H190" s="5">
        <v>2140</v>
      </c>
      <c r="I190" s="8" t="s">
        <v>1211</v>
      </c>
      <c r="J190" s="13" t="s">
        <v>1212</v>
      </c>
      <c r="K190" s="8" t="s">
        <v>232</v>
      </c>
      <c r="L190" s="5" t="s">
        <v>233</v>
      </c>
      <c r="M190" s="8" t="s">
        <v>234</v>
      </c>
      <c r="N190" s="8" t="s">
        <v>256</v>
      </c>
      <c r="O190" s="8" t="s">
        <v>223</v>
      </c>
      <c r="P190" s="5">
        <v>3</v>
      </c>
      <c r="Q190" s="5"/>
      <c r="R190" s="5"/>
      <c r="S190" s="5"/>
      <c r="T190" s="5">
        <v>3</v>
      </c>
      <c r="U190" s="5">
        <v>3</v>
      </c>
      <c r="V190" s="5">
        <v>2</v>
      </c>
      <c r="W190" s="5">
        <v>1</v>
      </c>
      <c r="X190" s="16">
        <f>Lit_rev_final[[#This Row],[Foundationality_1_5]]*0.35+Lit_rev_final[[#This Row],[Topic_Fit_1_5]]*0.35+Lit_rev_final[[#This Row],[Outlet_Quality_1_5]]*0.2+(0.1*Lit_rev_final[[#This Row],[Bridge_Value_0_3]]/3*5)</f>
        <v>2.6666666666666661</v>
      </c>
      <c r="Y190" s="10" t="s">
        <v>566</v>
      </c>
      <c r="Z190" s="5" t="s">
        <v>156</v>
      </c>
      <c r="AA190" s="5" t="s">
        <v>46</v>
      </c>
      <c r="AB190" s="5" t="s">
        <v>46</v>
      </c>
      <c r="AC190" s="16" t="s">
        <v>1213</v>
      </c>
      <c r="AJ190" s="2"/>
    </row>
    <row r="191" spans="1:36" ht="30" customHeight="1" x14ac:dyDescent="0.15">
      <c r="A191" s="5" t="s">
        <v>156</v>
      </c>
      <c r="B191" s="8" t="s">
        <v>1214</v>
      </c>
      <c r="C191" s="8" t="s">
        <v>1215</v>
      </c>
      <c r="D191" s="8" t="s">
        <v>1216</v>
      </c>
      <c r="E191" s="8" t="s">
        <v>389</v>
      </c>
      <c r="F191" s="5">
        <v>2021</v>
      </c>
      <c r="G191" s="5">
        <v>395</v>
      </c>
      <c r="H191" s="5">
        <v>408</v>
      </c>
      <c r="I191" s="8" t="s">
        <v>1217</v>
      </c>
      <c r="J191" s="13" t="s">
        <v>1218</v>
      </c>
      <c r="K191" s="8" t="s">
        <v>232</v>
      </c>
      <c r="L191" s="5" t="s">
        <v>1219</v>
      </c>
      <c r="M191" s="8" t="s">
        <v>392</v>
      </c>
      <c r="N191" s="8" t="s">
        <v>256</v>
      </c>
      <c r="O191" s="8" t="s">
        <v>223</v>
      </c>
      <c r="P191" s="5">
        <v>3</v>
      </c>
      <c r="Q191" s="5"/>
      <c r="R191" s="5"/>
      <c r="S191" s="5"/>
      <c r="T191" s="5">
        <v>3</v>
      </c>
      <c r="U191" s="5">
        <v>3</v>
      </c>
      <c r="V191" s="5">
        <v>2</v>
      </c>
      <c r="W191" s="5">
        <v>1</v>
      </c>
      <c r="X191" s="16">
        <f>Lit_rev_final[[#This Row],[Foundationality_1_5]]*0.35+Lit_rev_final[[#This Row],[Topic_Fit_1_5]]*0.35+Lit_rev_final[[#This Row],[Outlet_Quality_1_5]]*0.2+(0.1*Lit_rev_final[[#This Row],[Bridge_Value_0_3]]/3*5)</f>
        <v>2.6666666666666661</v>
      </c>
      <c r="Y191" s="10" t="s">
        <v>1220</v>
      </c>
      <c r="Z191" s="5" t="s">
        <v>156</v>
      </c>
      <c r="AA191" s="5" t="s">
        <v>46</v>
      </c>
      <c r="AB191" s="5" t="s">
        <v>46</v>
      </c>
      <c r="AC191" s="16" t="s">
        <v>1221</v>
      </c>
      <c r="AJ191" s="2"/>
    </row>
    <row r="192" spans="1:36" ht="30" customHeight="1" x14ac:dyDescent="0.15">
      <c r="A192" s="5" t="s">
        <v>156</v>
      </c>
      <c r="B192" s="8" t="s">
        <v>1222</v>
      </c>
      <c r="C192" s="8" t="s">
        <v>1223</v>
      </c>
      <c r="D192" s="8" t="s">
        <v>1224</v>
      </c>
      <c r="E192" s="8" t="s">
        <v>1225</v>
      </c>
      <c r="F192" s="5">
        <v>2023</v>
      </c>
      <c r="G192" s="5"/>
      <c r="H192" s="5"/>
      <c r="I192" s="8" t="s">
        <v>1226</v>
      </c>
      <c r="J192" s="13" t="s">
        <v>1227</v>
      </c>
      <c r="K192" s="8" t="s">
        <v>232</v>
      </c>
      <c r="L192" s="5" t="s">
        <v>233</v>
      </c>
      <c r="M192" s="8" t="s">
        <v>234</v>
      </c>
      <c r="N192" s="8" t="s">
        <v>256</v>
      </c>
      <c r="O192" s="8" t="s">
        <v>223</v>
      </c>
      <c r="P192" s="5">
        <v>3</v>
      </c>
      <c r="Q192" s="5"/>
      <c r="R192" s="5"/>
      <c r="S192" s="5"/>
      <c r="T192" s="5">
        <v>3</v>
      </c>
      <c r="U192" s="5">
        <v>3</v>
      </c>
      <c r="V192" s="5">
        <v>2</v>
      </c>
      <c r="W192" s="5">
        <v>1</v>
      </c>
      <c r="X192" s="16">
        <f>Lit_rev_final[[#This Row],[Foundationality_1_5]]*0.35+Lit_rev_final[[#This Row],[Topic_Fit_1_5]]*0.35+Lit_rev_final[[#This Row],[Outlet_Quality_1_5]]*0.2+(0.1*Lit_rev_final[[#This Row],[Bridge_Value_0_3]]/3*5)</f>
        <v>2.6666666666666661</v>
      </c>
      <c r="Y192" s="10" t="s">
        <v>626</v>
      </c>
      <c r="Z192" s="5" t="s">
        <v>156</v>
      </c>
      <c r="AA192" s="5" t="s">
        <v>46</v>
      </c>
      <c r="AB192" s="5" t="s">
        <v>46</v>
      </c>
      <c r="AC192" s="16" t="s">
        <v>1228</v>
      </c>
      <c r="AJ192" s="2"/>
    </row>
    <row r="193" spans="1:36" ht="30" customHeight="1" x14ac:dyDescent="0.15">
      <c r="A193" s="5" t="s">
        <v>156</v>
      </c>
      <c r="B193" s="8" t="s">
        <v>1229</v>
      </c>
      <c r="C193" s="8" t="s">
        <v>1230</v>
      </c>
      <c r="D193" s="8" t="s">
        <v>1231</v>
      </c>
      <c r="E193" s="8" t="s">
        <v>1232</v>
      </c>
      <c r="F193" s="5">
        <v>2023</v>
      </c>
      <c r="G193" s="5"/>
      <c r="H193" s="5"/>
      <c r="I193" s="8" t="s">
        <v>1233</v>
      </c>
      <c r="J193" s="13" t="s">
        <v>1234</v>
      </c>
      <c r="K193" s="8" t="s">
        <v>303</v>
      </c>
      <c r="L193" s="5" t="s">
        <v>233</v>
      </c>
      <c r="M193" s="8" t="s">
        <v>234</v>
      </c>
      <c r="N193" s="8" t="s">
        <v>256</v>
      </c>
      <c r="O193" s="8" t="s">
        <v>223</v>
      </c>
      <c r="P193" s="5">
        <v>3</v>
      </c>
      <c r="Q193" s="5"/>
      <c r="R193" s="5"/>
      <c r="S193" s="5"/>
      <c r="T193" s="5">
        <v>3</v>
      </c>
      <c r="U193" s="5">
        <v>3</v>
      </c>
      <c r="V193" s="5">
        <v>2</v>
      </c>
      <c r="W193" s="5">
        <v>1</v>
      </c>
      <c r="X193" s="16">
        <f>Lit_rev_final[[#This Row],[Foundationality_1_5]]*0.35+Lit_rev_final[[#This Row],[Topic_Fit_1_5]]*0.35+Lit_rev_final[[#This Row],[Outlet_Quality_1_5]]*0.2+(0.1*Lit_rev_final[[#This Row],[Bridge_Value_0_3]]/3*5)</f>
        <v>2.6666666666666661</v>
      </c>
      <c r="Y193" s="10" t="s">
        <v>626</v>
      </c>
      <c r="Z193" s="5" t="s">
        <v>156</v>
      </c>
      <c r="AA193" s="5" t="s">
        <v>46</v>
      </c>
      <c r="AB193" s="5" t="s">
        <v>46</v>
      </c>
      <c r="AC193" s="16" t="s">
        <v>1235</v>
      </c>
      <c r="AJ193" s="2"/>
    </row>
    <row r="194" spans="1:36" ht="30" customHeight="1" x14ac:dyDescent="0.15">
      <c r="A194" s="5" t="s">
        <v>156</v>
      </c>
      <c r="B194" s="8" t="s">
        <v>1236</v>
      </c>
      <c r="C194" s="8" t="s">
        <v>1237</v>
      </c>
      <c r="D194" s="8" t="s">
        <v>1238</v>
      </c>
      <c r="E194" s="8" t="s">
        <v>1239</v>
      </c>
      <c r="F194" s="5">
        <v>2022</v>
      </c>
      <c r="G194" s="5">
        <v>63353</v>
      </c>
      <c r="H194" s="5">
        <v>63374</v>
      </c>
      <c r="I194" s="8" t="s">
        <v>1240</v>
      </c>
      <c r="J194" s="13" t="s">
        <v>1241</v>
      </c>
      <c r="K194" s="8" t="s">
        <v>232</v>
      </c>
      <c r="L194" s="5" t="s">
        <v>233</v>
      </c>
      <c r="M194" s="8" t="s">
        <v>234</v>
      </c>
      <c r="N194" s="8" t="s">
        <v>256</v>
      </c>
      <c r="O194" s="8" t="s">
        <v>223</v>
      </c>
      <c r="P194" s="5">
        <v>3</v>
      </c>
      <c r="Q194" s="5" t="s">
        <v>67</v>
      </c>
      <c r="R194" s="5"/>
      <c r="S194" s="5" t="s">
        <v>69</v>
      </c>
      <c r="T194" s="5">
        <v>3</v>
      </c>
      <c r="U194" s="5">
        <v>3</v>
      </c>
      <c r="V194" s="5">
        <v>2</v>
      </c>
      <c r="W194" s="5">
        <v>1</v>
      </c>
      <c r="X194" s="16">
        <f>Lit_rev_final[[#This Row],[Foundationality_1_5]]*0.35+Lit_rev_final[[#This Row],[Topic_Fit_1_5]]*0.35+Lit_rev_final[[#This Row],[Outlet_Quality_1_5]]*0.2+(0.1*Lit_rev_final[[#This Row],[Bridge_Value_0_3]]/3*5)</f>
        <v>2.6666666666666661</v>
      </c>
      <c r="Y194" s="10" t="s">
        <v>626</v>
      </c>
      <c r="Z194" s="5" t="s">
        <v>156</v>
      </c>
      <c r="AA194" s="5" t="s">
        <v>46</v>
      </c>
      <c r="AB194" s="5" t="s">
        <v>46</v>
      </c>
      <c r="AC194" s="16" t="s">
        <v>1242</v>
      </c>
      <c r="AJ194" s="2"/>
    </row>
    <row r="195" spans="1:36" ht="30" customHeight="1" x14ac:dyDescent="0.15">
      <c r="A195" s="5" t="s">
        <v>156</v>
      </c>
      <c r="B195" s="8" t="s">
        <v>1243</v>
      </c>
      <c r="C195" s="8" t="s">
        <v>1244</v>
      </c>
      <c r="D195" s="8" t="s">
        <v>1245</v>
      </c>
      <c r="E195" s="8" t="s">
        <v>1246</v>
      </c>
      <c r="F195" s="5">
        <v>2015</v>
      </c>
      <c r="G195" s="5"/>
      <c r="H195" s="5"/>
      <c r="I195" s="8"/>
      <c r="J195" s="13" t="s">
        <v>1247</v>
      </c>
      <c r="K195" s="8" t="s">
        <v>303</v>
      </c>
      <c r="L195" s="5" t="s">
        <v>233</v>
      </c>
      <c r="M195" s="8" t="s">
        <v>234</v>
      </c>
      <c r="N195" s="8" t="s">
        <v>256</v>
      </c>
      <c r="O195" s="8" t="s">
        <v>223</v>
      </c>
      <c r="P195" s="5">
        <v>3</v>
      </c>
      <c r="Q195" s="5"/>
      <c r="R195" s="5"/>
      <c r="S195" s="5"/>
      <c r="T195" s="5">
        <v>3</v>
      </c>
      <c r="U195" s="5">
        <v>3</v>
      </c>
      <c r="V195" s="5">
        <v>2</v>
      </c>
      <c r="W195" s="5">
        <v>1</v>
      </c>
      <c r="X195" s="16">
        <f>Lit_rev_final[[#This Row],[Foundationality_1_5]]*0.35+Lit_rev_final[[#This Row],[Topic_Fit_1_5]]*0.35+Lit_rev_final[[#This Row],[Outlet_Quality_1_5]]*0.2+(0.1*Lit_rev_final[[#This Row],[Bridge_Value_0_3]]/3*5)</f>
        <v>2.6666666666666661</v>
      </c>
      <c r="Y195" s="10" t="s">
        <v>566</v>
      </c>
      <c r="Z195" s="5" t="s">
        <v>156</v>
      </c>
      <c r="AA195" s="5" t="s">
        <v>46</v>
      </c>
      <c r="AB195" s="5" t="s">
        <v>46</v>
      </c>
      <c r="AC195" s="16" t="s">
        <v>1248</v>
      </c>
      <c r="AJ195" s="2"/>
    </row>
    <row r="196" spans="1:36" ht="30" customHeight="1" x14ac:dyDescent="0.15">
      <c r="A196" s="5" t="s">
        <v>156</v>
      </c>
      <c r="B196" s="8" t="s">
        <v>1249</v>
      </c>
      <c r="C196" s="8" t="s">
        <v>1250</v>
      </c>
      <c r="D196" s="8" t="s">
        <v>1251</v>
      </c>
      <c r="E196" s="8" t="s">
        <v>1252</v>
      </c>
      <c r="F196" s="5">
        <v>2018</v>
      </c>
      <c r="G196" s="5">
        <v>1469</v>
      </c>
      <c r="H196" s="5">
        <v>1474</v>
      </c>
      <c r="I196" s="8" t="s">
        <v>1253</v>
      </c>
      <c r="J196" s="13" t="s">
        <v>1254</v>
      </c>
      <c r="K196" s="8" t="s">
        <v>232</v>
      </c>
      <c r="L196" s="5" t="s">
        <v>233</v>
      </c>
      <c r="M196" s="8" t="s">
        <v>392</v>
      </c>
      <c r="N196" s="8" t="s">
        <v>256</v>
      </c>
      <c r="O196" s="8" t="s">
        <v>223</v>
      </c>
      <c r="P196" s="5">
        <v>3</v>
      </c>
      <c r="Q196" s="5"/>
      <c r="R196" s="5"/>
      <c r="S196" s="5"/>
      <c r="T196" s="5">
        <v>3</v>
      </c>
      <c r="U196" s="5">
        <v>3</v>
      </c>
      <c r="V196" s="5">
        <v>2</v>
      </c>
      <c r="W196" s="5">
        <v>1</v>
      </c>
      <c r="X196" s="16">
        <f>Lit_rev_final[[#This Row],[Foundationality_1_5]]*0.35+Lit_rev_final[[#This Row],[Topic_Fit_1_5]]*0.35+Lit_rev_final[[#This Row],[Outlet_Quality_1_5]]*0.2+(0.1*Lit_rev_final[[#This Row],[Bridge_Value_0_3]]/3*5)</f>
        <v>2.6666666666666661</v>
      </c>
      <c r="Y196" s="10" t="s">
        <v>566</v>
      </c>
      <c r="Z196" s="5" t="s">
        <v>156</v>
      </c>
      <c r="AA196" s="5" t="s">
        <v>46</v>
      </c>
      <c r="AB196" s="5" t="s">
        <v>46</v>
      </c>
      <c r="AC196" s="16" t="s">
        <v>1255</v>
      </c>
      <c r="AJ196" s="2"/>
    </row>
    <row r="197" spans="1:36" ht="30" customHeight="1" x14ac:dyDescent="0.15">
      <c r="A197" s="5" t="s">
        <v>156</v>
      </c>
      <c r="B197" s="8" t="s">
        <v>1256</v>
      </c>
      <c r="C197" s="8" t="s">
        <v>1257</v>
      </c>
      <c r="D197" s="8" t="s">
        <v>473</v>
      </c>
      <c r="E197" s="8" t="s">
        <v>474</v>
      </c>
      <c r="F197" s="5">
        <v>2025</v>
      </c>
      <c r="G197" s="5"/>
      <c r="H197" s="5"/>
      <c r="I197" s="8" t="s">
        <v>1258</v>
      </c>
      <c r="J197" s="13" t="s">
        <v>1259</v>
      </c>
      <c r="K197" s="8" t="s">
        <v>303</v>
      </c>
      <c r="L197" s="5" t="s">
        <v>233</v>
      </c>
      <c r="M197" s="8" t="s">
        <v>367</v>
      </c>
      <c r="N197" s="8" t="s">
        <v>256</v>
      </c>
      <c r="O197" s="8" t="s">
        <v>120</v>
      </c>
      <c r="P197" s="5">
        <v>3</v>
      </c>
      <c r="Q197" s="5"/>
      <c r="R197" s="5"/>
      <c r="S197" s="5"/>
      <c r="T197" s="5">
        <v>3</v>
      </c>
      <c r="U197" s="5">
        <v>3</v>
      </c>
      <c r="V197" s="5">
        <v>2</v>
      </c>
      <c r="W197" s="5">
        <v>1</v>
      </c>
      <c r="X197" s="16">
        <f>Lit_rev_final[[#This Row],[Foundationality_1_5]]*0.35+Lit_rev_final[[#This Row],[Topic_Fit_1_5]]*0.35+Lit_rev_final[[#This Row],[Outlet_Quality_1_5]]*0.2+(0.1*Lit_rev_final[[#This Row],[Bridge_Value_0_3]]/3*5)</f>
        <v>2.6666666666666661</v>
      </c>
      <c r="Y197" s="10" t="s">
        <v>581</v>
      </c>
      <c r="Z197" s="5" t="s">
        <v>156</v>
      </c>
      <c r="AA197" s="5" t="s">
        <v>46</v>
      </c>
      <c r="AB197" s="5" t="s">
        <v>46</v>
      </c>
      <c r="AC197" s="16" t="s">
        <v>1260</v>
      </c>
      <c r="AJ197" s="2"/>
    </row>
    <row r="198" spans="1:36" ht="30" customHeight="1" x14ac:dyDescent="0.15">
      <c r="A198" s="5" t="s">
        <v>156</v>
      </c>
      <c r="B198" s="8" t="s">
        <v>1261</v>
      </c>
      <c r="C198" s="8" t="s">
        <v>1262</v>
      </c>
      <c r="D198" s="8" t="s">
        <v>1263</v>
      </c>
      <c r="E198" s="8" t="s">
        <v>152</v>
      </c>
      <c r="F198" s="5">
        <v>2025</v>
      </c>
      <c r="G198" s="5"/>
      <c r="H198" s="5"/>
      <c r="I198" s="8" t="s">
        <v>1264</v>
      </c>
      <c r="J198" s="13" t="s">
        <v>1265</v>
      </c>
      <c r="K198" s="8" t="s">
        <v>232</v>
      </c>
      <c r="L198" s="5" t="s">
        <v>233</v>
      </c>
      <c r="M198" s="8" t="s">
        <v>234</v>
      </c>
      <c r="N198" s="8" t="s">
        <v>256</v>
      </c>
      <c r="O198" s="8" t="s">
        <v>223</v>
      </c>
      <c r="P198" s="5">
        <v>3</v>
      </c>
      <c r="Q198" s="5"/>
      <c r="R198" s="5"/>
      <c r="S198" s="5"/>
      <c r="T198" s="5">
        <v>3</v>
      </c>
      <c r="U198" s="5">
        <v>3</v>
      </c>
      <c r="V198" s="5">
        <v>2</v>
      </c>
      <c r="W198" s="5">
        <v>1</v>
      </c>
      <c r="X198" s="16">
        <f>Lit_rev_final[[#This Row],[Foundationality_1_5]]*0.35+Lit_rev_final[[#This Row],[Topic_Fit_1_5]]*0.35+Lit_rev_final[[#This Row],[Outlet_Quality_1_5]]*0.2+(0.1*Lit_rev_final[[#This Row],[Bridge_Value_0_3]]/3*5)</f>
        <v>2.6666666666666661</v>
      </c>
      <c r="Y198" s="10" t="s">
        <v>566</v>
      </c>
      <c r="Z198" s="5" t="s">
        <v>156</v>
      </c>
      <c r="AA198" s="5" t="s">
        <v>46</v>
      </c>
      <c r="AB198" s="5" t="s">
        <v>46</v>
      </c>
      <c r="AC198" s="16" t="s">
        <v>201</v>
      </c>
      <c r="AJ198" s="2"/>
    </row>
    <row r="199" spans="1:36" ht="30" customHeight="1" x14ac:dyDescent="0.15">
      <c r="A199" s="5" t="s">
        <v>156</v>
      </c>
      <c r="B199" s="8" t="s">
        <v>1266</v>
      </c>
      <c r="C199" s="8" t="s">
        <v>1267</v>
      </c>
      <c r="D199" s="8" t="s">
        <v>1193</v>
      </c>
      <c r="E199" s="8" t="s">
        <v>253</v>
      </c>
      <c r="F199" s="5">
        <v>2025</v>
      </c>
      <c r="G199" s="5">
        <v>545</v>
      </c>
      <c r="H199" s="5">
        <v>571</v>
      </c>
      <c r="I199" s="8" t="s">
        <v>1268</v>
      </c>
      <c r="J199" s="13" t="s">
        <v>1269</v>
      </c>
      <c r="K199" s="8" t="s">
        <v>232</v>
      </c>
      <c r="L199" s="5" t="s">
        <v>233</v>
      </c>
      <c r="M199" s="8" t="s">
        <v>234</v>
      </c>
      <c r="N199" s="8" t="s">
        <v>256</v>
      </c>
      <c r="O199" s="8" t="s">
        <v>223</v>
      </c>
      <c r="P199" s="5">
        <v>3</v>
      </c>
      <c r="Q199" s="5"/>
      <c r="R199" s="5"/>
      <c r="S199" s="5"/>
      <c r="T199" s="5">
        <v>3</v>
      </c>
      <c r="U199" s="5">
        <v>3</v>
      </c>
      <c r="V199" s="5">
        <v>2</v>
      </c>
      <c r="W199" s="5">
        <v>1</v>
      </c>
      <c r="X199" s="16">
        <f>Lit_rev_final[[#This Row],[Foundationality_1_5]]*0.35+Lit_rev_final[[#This Row],[Topic_Fit_1_5]]*0.35+Lit_rev_final[[#This Row],[Outlet_Quality_1_5]]*0.2+(0.1*Lit_rev_final[[#This Row],[Bridge_Value_0_3]]/3*5)</f>
        <v>2.6666666666666661</v>
      </c>
      <c r="Y199" s="10" t="s">
        <v>702</v>
      </c>
      <c r="Z199" s="5" t="s">
        <v>156</v>
      </c>
      <c r="AA199" s="5" t="s">
        <v>46</v>
      </c>
      <c r="AB199" s="5" t="s">
        <v>46</v>
      </c>
      <c r="AC199" s="16" t="s">
        <v>1270</v>
      </c>
      <c r="AJ199" s="2"/>
    </row>
    <row r="200" spans="1:36" ht="30" customHeight="1" x14ac:dyDescent="0.15">
      <c r="A200" s="5" t="s">
        <v>156</v>
      </c>
      <c r="B200" s="8" t="s">
        <v>1271</v>
      </c>
      <c r="C200" s="8" t="s">
        <v>1272</v>
      </c>
      <c r="D200" s="8" t="s">
        <v>1099</v>
      </c>
      <c r="E200" s="8" t="s">
        <v>374</v>
      </c>
      <c r="F200" s="5">
        <v>2025</v>
      </c>
      <c r="G200" s="5"/>
      <c r="H200" s="5"/>
      <c r="I200" s="8" t="s">
        <v>1273</v>
      </c>
      <c r="J200" s="13" t="s">
        <v>1274</v>
      </c>
      <c r="K200" s="8" t="s">
        <v>377</v>
      </c>
      <c r="L200" s="5" t="s">
        <v>233</v>
      </c>
      <c r="M200" s="8" t="s">
        <v>46</v>
      </c>
      <c r="N200" s="8" t="s">
        <v>256</v>
      </c>
      <c r="O200" s="8" t="s">
        <v>120</v>
      </c>
      <c r="P200" s="5">
        <v>3</v>
      </c>
      <c r="Q200" s="5"/>
      <c r="R200" s="5"/>
      <c r="S200" s="5"/>
      <c r="T200" s="5">
        <v>3</v>
      </c>
      <c r="U200" s="5">
        <v>3</v>
      </c>
      <c r="V200" s="5">
        <v>2</v>
      </c>
      <c r="W200" s="5">
        <v>1</v>
      </c>
      <c r="X200" s="16">
        <f>Lit_rev_final[[#This Row],[Foundationality_1_5]]*0.35+Lit_rev_final[[#This Row],[Topic_Fit_1_5]]*0.35+Lit_rev_final[[#This Row],[Outlet_Quality_1_5]]*0.2+(0.1*Lit_rev_final[[#This Row],[Bridge_Value_0_3]]/3*5)</f>
        <v>2.6666666666666661</v>
      </c>
      <c r="Y200" s="10" t="s">
        <v>581</v>
      </c>
      <c r="Z200" s="5" t="s">
        <v>156</v>
      </c>
      <c r="AA200" s="5" t="s">
        <v>46</v>
      </c>
      <c r="AB200" s="5" t="s">
        <v>46</v>
      </c>
      <c r="AC200" s="16" t="s">
        <v>1275</v>
      </c>
      <c r="AJ200" s="2"/>
    </row>
    <row r="201" spans="1:36" ht="30" customHeight="1" x14ac:dyDescent="0.15">
      <c r="A201" s="5" t="s">
        <v>156</v>
      </c>
      <c r="B201" s="8" t="s">
        <v>1276</v>
      </c>
      <c r="C201" s="8" t="s">
        <v>1277</v>
      </c>
      <c r="D201" s="8" t="s">
        <v>522</v>
      </c>
      <c r="E201" s="8" t="s">
        <v>374</v>
      </c>
      <c r="F201" s="5">
        <v>2024</v>
      </c>
      <c r="G201" s="5"/>
      <c r="H201" s="5"/>
      <c r="I201" s="8" t="s">
        <v>1278</v>
      </c>
      <c r="J201" s="13" t="s">
        <v>1279</v>
      </c>
      <c r="K201" s="8" t="s">
        <v>232</v>
      </c>
      <c r="L201" s="5" t="s">
        <v>233</v>
      </c>
      <c r="M201" s="8" t="s">
        <v>392</v>
      </c>
      <c r="N201" s="8" t="s">
        <v>256</v>
      </c>
      <c r="O201" s="8" t="s">
        <v>120</v>
      </c>
      <c r="P201" s="5">
        <v>3</v>
      </c>
      <c r="Q201" s="5"/>
      <c r="R201" s="5"/>
      <c r="S201" s="5"/>
      <c r="T201" s="5">
        <v>3</v>
      </c>
      <c r="U201" s="5">
        <v>3</v>
      </c>
      <c r="V201" s="5">
        <v>2</v>
      </c>
      <c r="W201" s="5">
        <v>1</v>
      </c>
      <c r="X201" s="16">
        <f>Lit_rev_final[[#This Row],[Foundationality_1_5]]*0.35+Lit_rev_final[[#This Row],[Topic_Fit_1_5]]*0.35+Lit_rev_final[[#This Row],[Outlet_Quality_1_5]]*0.2+(0.1*Lit_rev_final[[#This Row],[Bridge_Value_0_3]]/3*5)</f>
        <v>2.6666666666666661</v>
      </c>
      <c r="Y201" s="10" t="s">
        <v>851</v>
      </c>
      <c r="Z201" s="5" t="s">
        <v>156</v>
      </c>
      <c r="AA201" s="5" t="s">
        <v>46</v>
      </c>
      <c r="AB201" s="5" t="s">
        <v>46</v>
      </c>
      <c r="AC201" s="16" t="s">
        <v>1280</v>
      </c>
      <c r="AJ201" s="2"/>
    </row>
    <row r="202" spans="1:36" ht="30" customHeight="1" x14ac:dyDescent="0.15">
      <c r="A202" s="5" t="s">
        <v>156</v>
      </c>
      <c r="B202" s="8" t="s">
        <v>1281</v>
      </c>
      <c r="C202" s="8" t="s">
        <v>1282</v>
      </c>
      <c r="D202" s="8" t="s">
        <v>1283</v>
      </c>
      <c r="E202" s="8"/>
      <c r="F202" s="5">
        <v>2026</v>
      </c>
      <c r="G202" s="5"/>
      <c r="H202" s="5"/>
      <c r="I202" s="8"/>
      <c r="J202" s="13" t="s">
        <v>1284</v>
      </c>
      <c r="K202" s="8" t="s">
        <v>1285</v>
      </c>
      <c r="L202" s="5" t="s">
        <v>233</v>
      </c>
      <c r="M202" s="8" t="s">
        <v>1286</v>
      </c>
      <c r="N202" s="8" t="s">
        <v>256</v>
      </c>
      <c r="O202" s="8" t="s">
        <v>120</v>
      </c>
      <c r="P202" s="5">
        <v>3</v>
      </c>
      <c r="Q202" s="5" t="s">
        <v>67</v>
      </c>
      <c r="R202" s="5" t="s">
        <v>68</v>
      </c>
      <c r="S202" s="5" t="s">
        <v>69</v>
      </c>
      <c r="T202" s="5">
        <v>3</v>
      </c>
      <c r="U202" s="5">
        <v>3</v>
      </c>
      <c r="V202" s="5">
        <v>2</v>
      </c>
      <c r="W202" s="5">
        <v>1</v>
      </c>
      <c r="X202" s="16">
        <f>Lit_rev_final[[#This Row],[Foundationality_1_5]]*0.35+Lit_rev_final[[#This Row],[Topic_Fit_1_5]]*0.35+Lit_rev_final[[#This Row],[Outlet_Quality_1_5]]*0.2+(0.1*Lit_rev_final[[#This Row],[Bridge_Value_0_3]]/3*5)</f>
        <v>2.6666666666666661</v>
      </c>
      <c r="Y202" s="10" t="s">
        <v>304</v>
      </c>
      <c r="Z202" s="5" t="s">
        <v>156</v>
      </c>
      <c r="AA202" s="5" t="s">
        <v>46</v>
      </c>
      <c r="AB202" s="5" t="s">
        <v>46</v>
      </c>
      <c r="AC202" s="16" t="s">
        <v>1287</v>
      </c>
      <c r="AJ202" s="2"/>
    </row>
    <row r="203" spans="1:36" ht="30" customHeight="1" x14ac:dyDescent="0.15">
      <c r="A203" s="5" t="s">
        <v>156</v>
      </c>
      <c r="B203" s="8" t="s">
        <v>1288</v>
      </c>
      <c r="C203" s="8" t="s">
        <v>1289</v>
      </c>
      <c r="D203" s="8" t="s">
        <v>1290</v>
      </c>
      <c r="E203" s="8" t="s">
        <v>1291</v>
      </c>
      <c r="F203" s="5">
        <v>2023</v>
      </c>
      <c r="G203" s="5">
        <v>3633</v>
      </c>
      <c r="H203" s="5">
        <v>3645</v>
      </c>
      <c r="I203" s="8" t="s">
        <v>1292</v>
      </c>
      <c r="J203" s="13" t="s">
        <v>1293</v>
      </c>
      <c r="K203" s="8" t="s">
        <v>232</v>
      </c>
      <c r="L203" s="5" t="s">
        <v>233</v>
      </c>
      <c r="M203" s="8" t="s">
        <v>234</v>
      </c>
      <c r="N203" s="8" t="s">
        <v>256</v>
      </c>
      <c r="O203" s="8" t="s">
        <v>223</v>
      </c>
      <c r="P203" s="5">
        <v>3</v>
      </c>
      <c r="Q203" s="5"/>
      <c r="R203" s="5"/>
      <c r="S203" s="5"/>
      <c r="T203" s="5">
        <v>3</v>
      </c>
      <c r="U203" s="5">
        <v>3</v>
      </c>
      <c r="V203" s="5">
        <v>2</v>
      </c>
      <c r="W203" s="5">
        <v>1</v>
      </c>
      <c r="X203" s="16">
        <f>Lit_rev_final[[#This Row],[Foundationality_1_5]]*0.35+Lit_rev_final[[#This Row],[Topic_Fit_1_5]]*0.35+Lit_rev_final[[#This Row],[Outlet_Quality_1_5]]*0.2+(0.1*Lit_rev_final[[#This Row],[Bridge_Value_0_3]]/3*5)</f>
        <v>2.6666666666666661</v>
      </c>
      <c r="Y203" s="10" t="s">
        <v>566</v>
      </c>
      <c r="Z203" s="5" t="s">
        <v>156</v>
      </c>
      <c r="AA203" s="5" t="s">
        <v>46</v>
      </c>
      <c r="AB203" s="5" t="s">
        <v>46</v>
      </c>
      <c r="AC203" s="16" t="s">
        <v>1294</v>
      </c>
      <c r="AJ203" s="2"/>
    </row>
    <row r="204" spans="1:36" ht="30" customHeight="1" x14ac:dyDescent="0.15">
      <c r="A204" s="7" t="s">
        <v>30</v>
      </c>
      <c r="B204" s="8" t="s">
        <v>1295</v>
      </c>
      <c r="C204" s="8" t="s">
        <v>1296</v>
      </c>
      <c r="D204" s="8" t="s">
        <v>1297</v>
      </c>
      <c r="E204" s="8" t="s">
        <v>1298</v>
      </c>
      <c r="F204" s="5">
        <v>2025</v>
      </c>
      <c r="G204" s="5">
        <v>40</v>
      </c>
      <c r="H204" s="5">
        <v>50</v>
      </c>
      <c r="I204" s="8" t="s">
        <v>1299</v>
      </c>
      <c r="J204" s="13" t="s">
        <v>1300</v>
      </c>
      <c r="K204" s="8" t="s">
        <v>232</v>
      </c>
      <c r="L204" s="5" t="s">
        <v>233</v>
      </c>
      <c r="M204" s="8" t="s">
        <v>234</v>
      </c>
      <c r="N204" s="8" t="s">
        <v>256</v>
      </c>
      <c r="O204" s="8" t="s">
        <v>223</v>
      </c>
      <c r="P204" s="5">
        <v>3</v>
      </c>
      <c r="Q204" s="5" t="s">
        <v>351</v>
      </c>
      <c r="R204" s="5" t="s">
        <v>113</v>
      </c>
      <c r="S204" s="5" t="s">
        <v>224</v>
      </c>
      <c r="T204" s="5">
        <v>3</v>
      </c>
      <c r="U204" s="5">
        <v>3</v>
      </c>
      <c r="V204" s="5">
        <v>2</v>
      </c>
      <c r="W204" s="5">
        <v>1</v>
      </c>
      <c r="X204" s="16">
        <f>Lit_rev_final[[#This Row],[Foundationality_1_5]]*0.35+Lit_rev_final[[#This Row],[Topic_Fit_1_5]]*0.35+Lit_rev_final[[#This Row],[Outlet_Quality_1_5]]*0.2+(0.1*Lit_rev_final[[#This Row],[Bridge_Value_0_3]]/3*5)</f>
        <v>2.6666666666666661</v>
      </c>
      <c r="Y204" s="10" t="s">
        <v>1301</v>
      </c>
      <c r="Z204" s="5" t="s">
        <v>156</v>
      </c>
      <c r="AA204" s="5" t="s">
        <v>46</v>
      </c>
      <c r="AB204" s="5" t="s">
        <v>46</v>
      </c>
      <c r="AC204" s="16" t="s">
        <v>1302</v>
      </c>
      <c r="AJ204" s="2"/>
    </row>
    <row r="205" spans="1:36" ht="30" customHeight="1" x14ac:dyDescent="0.15">
      <c r="A205" s="5" t="s">
        <v>156</v>
      </c>
      <c r="B205" s="8" t="s">
        <v>1303</v>
      </c>
      <c r="C205" s="8" t="s">
        <v>1304</v>
      </c>
      <c r="D205" s="8" t="s">
        <v>597</v>
      </c>
      <c r="E205" s="8" t="s">
        <v>152</v>
      </c>
      <c r="F205" s="5">
        <v>2026</v>
      </c>
      <c r="G205" s="5"/>
      <c r="H205" s="5"/>
      <c r="I205" s="8" t="s">
        <v>1305</v>
      </c>
      <c r="J205" s="13" t="s">
        <v>1306</v>
      </c>
      <c r="K205" s="8" t="s">
        <v>232</v>
      </c>
      <c r="L205" s="5" t="s">
        <v>233</v>
      </c>
      <c r="M205" s="8" t="s">
        <v>234</v>
      </c>
      <c r="N205" s="8" t="s">
        <v>256</v>
      </c>
      <c r="O205" s="8" t="s">
        <v>120</v>
      </c>
      <c r="P205" s="5">
        <v>3</v>
      </c>
      <c r="Q205" s="5"/>
      <c r="R205" s="5"/>
      <c r="S205" s="5"/>
      <c r="T205" s="5">
        <v>3</v>
      </c>
      <c r="U205" s="5">
        <v>3</v>
      </c>
      <c r="V205" s="5">
        <v>2</v>
      </c>
      <c r="W205" s="5">
        <v>1</v>
      </c>
      <c r="X205" s="16">
        <f>Lit_rev_final[[#This Row],[Foundationality_1_5]]*0.35+Lit_rev_final[[#This Row],[Topic_Fit_1_5]]*0.35+Lit_rev_final[[#This Row],[Outlet_Quality_1_5]]*0.2+(0.1*Lit_rev_final[[#This Row],[Bridge_Value_0_3]]/3*5)</f>
        <v>2.6666666666666661</v>
      </c>
      <c r="Y205" s="10" t="s">
        <v>581</v>
      </c>
      <c r="Z205" s="5" t="s">
        <v>156</v>
      </c>
      <c r="AA205" s="5" t="s">
        <v>46</v>
      </c>
      <c r="AB205" s="5" t="s">
        <v>46</v>
      </c>
      <c r="AC205" s="16" t="s">
        <v>1307</v>
      </c>
      <c r="AJ205" s="2"/>
    </row>
    <row r="206" spans="1:36" ht="30" customHeight="1" x14ac:dyDescent="0.15">
      <c r="A206" s="5" t="s">
        <v>156</v>
      </c>
      <c r="B206" s="8" t="s">
        <v>1308</v>
      </c>
      <c r="C206" s="8" t="s">
        <v>1309</v>
      </c>
      <c r="D206" s="8" t="s">
        <v>1310</v>
      </c>
      <c r="E206" s="8" t="s">
        <v>1311</v>
      </c>
      <c r="F206" s="5">
        <v>2017</v>
      </c>
      <c r="G206" s="5">
        <v>79</v>
      </c>
      <c r="H206" s="5">
        <v>86</v>
      </c>
      <c r="I206" s="8" t="s">
        <v>1312</v>
      </c>
      <c r="J206" s="13" t="s">
        <v>1313</v>
      </c>
      <c r="K206" s="8" t="s">
        <v>232</v>
      </c>
      <c r="L206" s="5" t="s">
        <v>233</v>
      </c>
      <c r="M206" s="8" t="s">
        <v>392</v>
      </c>
      <c r="N206" s="8" t="s">
        <v>256</v>
      </c>
      <c r="O206" s="8" t="s">
        <v>223</v>
      </c>
      <c r="P206" s="5">
        <v>3</v>
      </c>
      <c r="Q206" s="5"/>
      <c r="R206" s="5"/>
      <c r="S206" s="5"/>
      <c r="T206" s="5">
        <v>3</v>
      </c>
      <c r="U206" s="5">
        <v>3</v>
      </c>
      <c r="V206" s="5">
        <v>2</v>
      </c>
      <c r="W206" s="5">
        <v>1</v>
      </c>
      <c r="X206" s="16">
        <f>Lit_rev_final[[#This Row],[Foundationality_1_5]]*0.35+Lit_rev_final[[#This Row],[Topic_Fit_1_5]]*0.35+Lit_rev_final[[#This Row],[Outlet_Quality_1_5]]*0.2+(0.1*Lit_rev_final[[#This Row],[Bridge_Value_0_3]]/3*5)</f>
        <v>2.6666666666666661</v>
      </c>
      <c r="Y206" s="10" t="s">
        <v>566</v>
      </c>
      <c r="Z206" s="5" t="s">
        <v>156</v>
      </c>
      <c r="AA206" s="5" t="s">
        <v>46</v>
      </c>
      <c r="AB206" s="5" t="s">
        <v>46</v>
      </c>
      <c r="AC206" s="16" t="s">
        <v>1314</v>
      </c>
      <c r="AJ206" s="2"/>
    </row>
    <row r="207" spans="1:36" ht="30" customHeight="1" x14ac:dyDescent="0.15">
      <c r="A207" s="5" t="s">
        <v>156</v>
      </c>
      <c r="B207" s="8" t="s">
        <v>1315</v>
      </c>
      <c r="C207" s="8" t="s">
        <v>1316</v>
      </c>
      <c r="D207" s="8" t="s">
        <v>1263</v>
      </c>
      <c r="E207" s="8" t="s">
        <v>152</v>
      </c>
      <c r="F207" s="5">
        <v>2021</v>
      </c>
      <c r="G207" s="5"/>
      <c r="H207" s="5"/>
      <c r="I207" s="8" t="s">
        <v>1317</v>
      </c>
      <c r="J207" s="13" t="s">
        <v>1318</v>
      </c>
      <c r="K207" s="8" t="s">
        <v>232</v>
      </c>
      <c r="L207" s="5" t="s">
        <v>233</v>
      </c>
      <c r="M207" s="8" t="s">
        <v>234</v>
      </c>
      <c r="N207" s="8" t="s">
        <v>256</v>
      </c>
      <c r="O207" s="8" t="s">
        <v>223</v>
      </c>
      <c r="P207" s="5">
        <v>3</v>
      </c>
      <c r="Q207" s="5"/>
      <c r="R207" s="5"/>
      <c r="S207" s="5"/>
      <c r="T207" s="5">
        <v>3</v>
      </c>
      <c r="U207" s="5">
        <v>3</v>
      </c>
      <c r="V207" s="5">
        <v>2</v>
      </c>
      <c r="W207" s="5">
        <v>1</v>
      </c>
      <c r="X207" s="16">
        <f>Lit_rev_final[[#This Row],[Foundationality_1_5]]*0.35+Lit_rev_final[[#This Row],[Topic_Fit_1_5]]*0.35+Lit_rev_final[[#This Row],[Outlet_Quality_1_5]]*0.2+(0.1*Lit_rev_final[[#This Row],[Bridge_Value_0_3]]/3*5)</f>
        <v>2.6666666666666661</v>
      </c>
      <c r="Y207" s="10" t="s">
        <v>566</v>
      </c>
      <c r="Z207" s="5" t="s">
        <v>156</v>
      </c>
      <c r="AA207" s="5" t="s">
        <v>46</v>
      </c>
      <c r="AB207" s="5" t="s">
        <v>46</v>
      </c>
      <c r="AC207" s="16" t="s">
        <v>1319</v>
      </c>
      <c r="AJ207" s="2"/>
    </row>
    <row r="208" spans="1:36" ht="30" customHeight="1" x14ac:dyDescent="0.15">
      <c r="A208" s="5" t="s">
        <v>156</v>
      </c>
      <c r="B208" s="8" t="s">
        <v>1320</v>
      </c>
      <c r="C208" s="8" t="s">
        <v>1321</v>
      </c>
      <c r="D208" s="8" t="s">
        <v>1322</v>
      </c>
      <c r="E208" s="8" t="s">
        <v>1323</v>
      </c>
      <c r="F208" s="5">
        <v>2022</v>
      </c>
      <c r="G208" s="5"/>
      <c r="H208" s="5"/>
      <c r="I208" s="8" t="s">
        <v>1324</v>
      </c>
      <c r="J208" s="13" t="s">
        <v>1325</v>
      </c>
      <c r="K208" s="8" t="s">
        <v>303</v>
      </c>
      <c r="L208" s="5" t="s">
        <v>233</v>
      </c>
      <c r="M208" s="8" t="s">
        <v>234</v>
      </c>
      <c r="N208" s="8" t="s">
        <v>256</v>
      </c>
      <c r="O208" s="8" t="s">
        <v>223</v>
      </c>
      <c r="P208" s="5">
        <v>3</v>
      </c>
      <c r="Q208" s="5"/>
      <c r="R208" s="5"/>
      <c r="S208" s="5"/>
      <c r="T208" s="5">
        <v>3</v>
      </c>
      <c r="U208" s="5">
        <v>3</v>
      </c>
      <c r="V208" s="5">
        <v>2</v>
      </c>
      <c r="W208" s="5">
        <v>1</v>
      </c>
      <c r="X208" s="16">
        <f>Lit_rev_final[[#This Row],[Foundationality_1_5]]*0.35+Lit_rev_final[[#This Row],[Topic_Fit_1_5]]*0.35+Lit_rev_final[[#This Row],[Outlet_Quality_1_5]]*0.2+(0.1*Lit_rev_final[[#This Row],[Bridge_Value_0_3]]/3*5)</f>
        <v>2.6666666666666661</v>
      </c>
      <c r="Y208" s="10" t="s">
        <v>626</v>
      </c>
      <c r="Z208" s="5" t="s">
        <v>156</v>
      </c>
      <c r="AA208" s="5" t="s">
        <v>46</v>
      </c>
      <c r="AB208" s="5" t="s">
        <v>46</v>
      </c>
      <c r="AC208" s="16" t="s">
        <v>1326</v>
      </c>
      <c r="AJ208" s="2"/>
    </row>
    <row r="209" spans="1:36" ht="30" customHeight="1" x14ac:dyDescent="0.15">
      <c r="A209" s="5" t="s">
        <v>156</v>
      </c>
      <c r="B209" s="8" t="s">
        <v>1327</v>
      </c>
      <c r="C209" s="8" t="s">
        <v>1328</v>
      </c>
      <c r="D209" s="8" t="s">
        <v>1329</v>
      </c>
      <c r="E209" s="8" t="s">
        <v>374</v>
      </c>
      <c r="F209" s="5">
        <v>2024</v>
      </c>
      <c r="G209" s="5"/>
      <c r="H209" s="5"/>
      <c r="I209" s="8" t="s">
        <v>1330</v>
      </c>
      <c r="J209" s="13" t="s">
        <v>1331</v>
      </c>
      <c r="K209" s="8" t="s">
        <v>377</v>
      </c>
      <c r="L209" s="5" t="s">
        <v>233</v>
      </c>
      <c r="M209" s="8" t="s">
        <v>46</v>
      </c>
      <c r="N209" s="8" t="s">
        <v>256</v>
      </c>
      <c r="O209" s="8" t="s">
        <v>120</v>
      </c>
      <c r="P209" s="5">
        <v>3</v>
      </c>
      <c r="Q209" s="5"/>
      <c r="R209" s="5"/>
      <c r="S209" s="5"/>
      <c r="T209" s="5">
        <v>3</v>
      </c>
      <c r="U209" s="5">
        <v>3</v>
      </c>
      <c r="V209" s="5">
        <v>2</v>
      </c>
      <c r="W209" s="5">
        <v>1</v>
      </c>
      <c r="X209" s="16">
        <f>Lit_rev_final[[#This Row],[Foundationality_1_5]]*0.35+Lit_rev_final[[#This Row],[Topic_Fit_1_5]]*0.35+Lit_rev_final[[#This Row],[Outlet_Quality_1_5]]*0.2+(0.1*Lit_rev_final[[#This Row],[Bridge_Value_0_3]]/3*5)</f>
        <v>2.6666666666666661</v>
      </c>
      <c r="Y209" s="10" t="s">
        <v>851</v>
      </c>
      <c r="Z209" s="5" t="s">
        <v>156</v>
      </c>
      <c r="AA209" s="5" t="s">
        <v>46</v>
      </c>
      <c r="AB209" s="5" t="s">
        <v>46</v>
      </c>
      <c r="AC209" s="16" t="s">
        <v>1332</v>
      </c>
      <c r="AJ209" s="2"/>
    </row>
    <row r="210" spans="1:36" ht="30" customHeight="1" x14ac:dyDescent="0.15">
      <c r="A210" s="5" t="s">
        <v>156</v>
      </c>
      <c r="B210" s="8" t="s">
        <v>1333</v>
      </c>
      <c r="C210" s="8" t="s">
        <v>1334</v>
      </c>
      <c r="D210" s="8" t="s">
        <v>1193</v>
      </c>
      <c r="E210" s="8" t="s">
        <v>253</v>
      </c>
      <c r="F210" s="5">
        <v>2024</v>
      </c>
      <c r="G210" s="5"/>
      <c r="H210" s="5"/>
      <c r="I210" s="8" t="s">
        <v>1335</v>
      </c>
      <c r="J210" s="13" t="s">
        <v>1336</v>
      </c>
      <c r="K210" s="8" t="s">
        <v>232</v>
      </c>
      <c r="L210" s="5" t="s">
        <v>233</v>
      </c>
      <c r="M210" s="8" t="s">
        <v>1337</v>
      </c>
      <c r="N210" s="8" t="s">
        <v>256</v>
      </c>
      <c r="O210" s="8" t="s">
        <v>223</v>
      </c>
      <c r="P210" s="5">
        <v>3</v>
      </c>
      <c r="Q210" s="5"/>
      <c r="R210" s="5"/>
      <c r="S210" s="5"/>
      <c r="T210" s="5">
        <v>3</v>
      </c>
      <c r="U210" s="5">
        <v>3</v>
      </c>
      <c r="V210" s="5">
        <v>2</v>
      </c>
      <c r="W210" s="5">
        <v>1</v>
      </c>
      <c r="X210" s="16">
        <f>Lit_rev_final[[#This Row],[Foundationality_1_5]]*0.35+Lit_rev_final[[#This Row],[Topic_Fit_1_5]]*0.35+Lit_rev_final[[#This Row],[Outlet_Quality_1_5]]*0.2+(0.1*Lit_rev_final[[#This Row],[Bridge_Value_0_3]]/3*5)</f>
        <v>2.6666666666666661</v>
      </c>
      <c r="Y210" s="10" t="s">
        <v>1338</v>
      </c>
      <c r="Z210" s="5" t="s">
        <v>156</v>
      </c>
      <c r="AA210" s="5" t="s">
        <v>46</v>
      </c>
      <c r="AB210" s="5" t="s">
        <v>46</v>
      </c>
      <c r="AC210" s="16" t="s">
        <v>1339</v>
      </c>
      <c r="AJ210" s="2"/>
    </row>
    <row r="211" spans="1:36" ht="30" customHeight="1" x14ac:dyDescent="0.15">
      <c r="A211" s="5" t="s">
        <v>156</v>
      </c>
      <c r="B211" s="8" t="s">
        <v>1340</v>
      </c>
      <c r="C211" s="8" t="s">
        <v>1341</v>
      </c>
      <c r="D211" s="8" t="s">
        <v>1342</v>
      </c>
      <c r="E211" s="8" t="s">
        <v>374</v>
      </c>
      <c r="F211" s="5">
        <v>2025</v>
      </c>
      <c r="G211" s="5"/>
      <c r="H211" s="5"/>
      <c r="I211" s="8" t="s">
        <v>1343</v>
      </c>
      <c r="J211" s="13" t="s">
        <v>1344</v>
      </c>
      <c r="K211" s="8" t="s">
        <v>377</v>
      </c>
      <c r="L211" s="5" t="s">
        <v>233</v>
      </c>
      <c r="M211" s="8" t="s">
        <v>46</v>
      </c>
      <c r="N211" s="8" t="s">
        <v>256</v>
      </c>
      <c r="O211" s="8" t="s">
        <v>120</v>
      </c>
      <c r="P211" s="5">
        <v>3</v>
      </c>
      <c r="Q211" s="5"/>
      <c r="R211" s="5"/>
      <c r="S211" s="5"/>
      <c r="T211" s="5">
        <v>3</v>
      </c>
      <c r="U211" s="5">
        <v>3</v>
      </c>
      <c r="V211" s="5">
        <v>2</v>
      </c>
      <c r="W211" s="5">
        <v>1</v>
      </c>
      <c r="X211" s="16">
        <f>Lit_rev_final[[#This Row],[Foundationality_1_5]]*0.35+Lit_rev_final[[#This Row],[Topic_Fit_1_5]]*0.35+Lit_rev_final[[#This Row],[Outlet_Quality_1_5]]*0.2+(0.1*Lit_rev_final[[#This Row],[Bridge_Value_0_3]]/3*5)</f>
        <v>2.6666666666666661</v>
      </c>
      <c r="Y211" s="10" t="s">
        <v>851</v>
      </c>
      <c r="Z211" s="5" t="s">
        <v>156</v>
      </c>
      <c r="AA211" s="5" t="s">
        <v>46</v>
      </c>
      <c r="AB211" s="5" t="s">
        <v>46</v>
      </c>
      <c r="AC211" s="16" t="s">
        <v>1345</v>
      </c>
      <c r="AJ211" s="2"/>
    </row>
    <row r="212" spans="1:36" ht="30" customHeight="1" x14ac:dyDescent="0.15">
      <c r="A212" s="5" t="s">
        <v>156</v>
      </c>
      <c r="B212" s="8" t="s">
        <v>1346</v>
      </c>
      <c r="C212" s="8" t="s">
        <v>1347</v>
      </c>
      <c r="D212" s="8" t="s">
        <v>1348</v>
      </c>
      <c r="E212" s="8" t="s">
        <v>430</v>
      </c>
      <c r="F212" s="5">
        <v>2018</v>
      </c>
      <c r="G212" s="5">
        <v>132</v>
      </c>
      <c r="H212" s="5">
        <v>147</v>
      </c>
      <c r="I212" s="8" t="s">
        <v>1349</v>
      </c>
      <c r="J212" s="13" t="s">
        <v>1350</v>
      </c>
      <c r="K212" s="8" t="s">
        <v>232</v>
      </c>
      <c r="L212" s="5" t="s">
        <v>233</v>
      </c>
      <c r="M212" s="8" t="s">
        <v>234</v>
      </c>
      <c r="N212" s="8" t="s">
        <v>256</v>
      </c>
      <c r="O212" s="8" t="s">
        <v>223</v>
      </c>
      <c r="P212" s="5">
        <v>3</v>
      </c>
      <c r="Q212" s="5"/>
      <c r="R212" s="5"/>
      <c r="S212" s="5"/>
      <c r="T212" s="5">
        <v>3</v>
      </c>
      <c r="U212" s="5">
        <v>3</v>
      </c>
      <c r="V212" s="5">
        <v>2</v>
      </c>
      <c r="W212" s="5">
        <v>1</v>
      </c>
      <c r="X212" s="16">
        <f>Lit_rev_final[[#This Row],[Foundationality_1_5]]*0.35+Lit_rev_final[[#This Row],[Topic_Fit_1_5]]*0.35+Lit_rev_final[[#This Row],[Outlet_Quality_1_5]]*0.2+(0.1*Lit_rev_final[[#This Row],[Bridge_Value_0_3]]/3*5)</f>
        <v>2.6666666666666661</v>
      </c>
      <c r="Y212" s="10" t="s">
        <v>1338</v>
      </c>
      <c r="Z212" s="5" t="s">
        <v>156</v>
      </c>
      <c r="AA212" s="5" t="s">
        <v>46</v>
      </c>
      <c r="AB212" s="5" t="s">
        <v>46</v>
      </c>
      <c r="AC212" s="16" t="s">
        <v>1351</v>
      </c>
      <c r="AJ212" s="2"/>
    </row>
    <row r="213" spans="1:36" ht="30" customHeight="1" x14ac:dyDescent="0.15">
      <c r="A213" s="5" t="s">
        <v>156</v>
      </c>
      <c r="B213" s="8" t="s">
        <v>1352</v>
      </c>
      <c r="C213" s="8" t="s">
        <v>1353</v>
      </c>
      <c r="D213" s="8" t="s">
        <v>1354</v>
      </c>
      <c r="E213" s="8" t="s">
        <v>1355</v>
      </c>
      <c r="F213" s="5">
        <v>2025</v>
      </c>
      <c r="G213" s="5"/>
      <c r="H213" s="5"/>
      <c r="I213" s="8" t="s">
        <v>1356</v>
      </c>
      <c r="J213" s="13" t="s">
        <v>1357</v>
      </c>
      <c r="K213" s="8" t="s">
        <v>303</v>
      </c>
      <c r="L213" s="5" t="s">
        <v>233</v>
      </c>
      <c r="M213" s="8" t="s">
        <v>234</v>
      </c>
      <c r="N213" s="8" t="s">
        <v>256</v>
      </c>
      <c r="O213" s="8" t="s">
        <v>120</v>
      </c>
      <c r="P213" s="5">
        <v>3</v>
      </c>
      <c r="Q213" s="5"/>
      <c r="R213" s="5"/>
      <c r="S213" s="5"/>
      <c r="T213" s="5">
        <v>3</v>
      </c>
      <c r="U213" s="5">
        <v>3</v>
      </c>
      <c r="V213" s="5">
        <v>2</v>
      </c>
      <c r="W213" s="5">
        <v>1</v>
      </c>
      <c r="X213" s="16">
        <f>Lit_rev_final[[#This Row],[Foundationality_1_5]]*0.35+Lit_rev_final[[#This Row],[Topic_Fit_1_5]]*0.35+Lit_rev_final[[#This Row],[Outlet_Quality_1_5]]*0.2+(0.1*Lit_rev_final[[#This Row],[Bridge_Value_0_3]]/3*5)</f>
        <v>2.6666666666666661</v>
      </c>
      <c r="Y213" s="10" t="s">
        <v>1202</v>
      </c>
      <c r="Z213" s="5" t="s">
        <v>156</v>
      </c>
      <c r="AA213" s="5" t="s">
        <v>46</v>
      </c>
      <c r="AB213" s="5" t="s">
        <v>46</v>
      </c>
      <c r="AC213" s="16" t="s">
        <v>1358</v>
      </c>
      <c r="AJ213" s="2"/>
    </row>
    <row r="214" spans="1:36" ht="30" customHeight="1" x14ac:dyDescent="0.15">
      <c r="A214" s="5" t="s">
        <v>156</v>
      </c>
      <c r="B214" s="8" t="s">
        <v>1359</v>
      </c>
      <c r="C214" s="8" t="s">
        <v>1360</v>
      </c>
      <c r="D214" s="8" t="s">
        <v>436</v>
      </c>
      <c r="E214" s="8" t="s">
        <v>331</v>
      </c>
      <c r="F214" s="5">
        <v>2025</v>
      </c>
      <c r="G214" s="5">
        <v>2344</v>
      </c>
      <c r="H214" s="5">
        <v>2349</v>
      </c>
      <c r="I214" s="8" t="s">
        <v>1361</v>
      </c>
      <c r="J214" s="13" t="s">
        <v>1362</v>
      </c>
      <c r="K214" s="8" t="s">
        <v>232</v>
      </c>
      <c r="L214" s="5" t="s">
        <v>233</v>
      </c>
      <c r="M214" s="8" t="s">
        <v>392</v>
      </c>
      <c r="N214" s="8" t="s">
        <v>256</v>
      </c>
      <c r="O214" s="8" t="s">
        <v>223</v>
      </c>
      <c r="P214" s="5">
        <v>3</v>
      </c>
      <c r="Q214" s="5"/>
      <c r="R214" s="5"/>
      <c r="S214" s="5"/>
      <c r="T214" s="5">
        <v>3</v>
      </c>
      <c r="U214" s="5">
        <v>3</v>
      </c>
      <c r="V214" s="5">
        <v>2</v>
      </c>
      <c r="W214" s="5">
        <v>1</v>
      </c>
      <c r="X214" s="16">
        <f>Lit_rev_final[[#This Row],[Foundationality_1_5]]*0.35+Lit_rev_final[[#This Row],[Topic_Fit_1_5]]*0.35+Lit_rev_final[[#This Row],[Outlet_Quality_1_5]]*0.2+(0.1*Lit_rev_final[[#This Row],[Bridge_Value_0_3]]/3*5)</f>
        <v>2.6666666666666661</v>
      </c>
      <c r="Y214" s="10" t="s">
        <v>1338</v>
      </c>
      <c r="Z214" s="5" t="s">
        <v>156</v>
      </c>
      <c r="AA214" s="5" t="s">
        <v>46</v>
      </c>
      <c r="AB214" s="5" t="s">
        <v>46</v>
      </c>
      <c r="AC214" s="16" t="s">
        <v>1363</v>
      </c>
      <c r="AJ214" s="2"/>
    </row>
    <row r="215" spans="1:36" ht="30" customHeight="1" x14ac:dyDescent="0.15">
      <c r="A215" s="5" t="s">
        <v>156</v>
      </c>
      <c r="B215" s="8" t="s">
        <v>1364</v>
      </c>
      <c r="C215" s="8" t="s">
        <v>1365</v>
      </c>
      <c r="D215" s="8" t="s">
        <v>1366</v>
      </c>
      <c r="E215" s="8" t="s">
        <v>253</v>
      </c>
      <c r="F215" s="5">
        <v>2025</v>
      </c>
      <c r="G215" s="5">
        <v>224</v>
      </c>
      <c r="H215" s="5">
        <v>247</v>
      </c>
      <c r="I215" s="8" t="s">
        <v>1367</v>
      </c>
      <c r="J215" s="13" t="s">
        <v>1368</v>
      </c>
      <c r="K215" s="8" t="s">
        <v>232</v>
      </c>
      <c r="L215" s="5" t="s">
        <v>233</v>
      </c>
      <c r="M215" s="8" t="s">
        <v>234</v>
      </c>
      <c r="N215" s="8" t="s">
        <v>256</v>
      </c>
      <c r="O215" s="8" t="s">
        <v>223</v>
      </c>
      <c r="P215" s="5">
        <v>3</v>
      </c>
      <c r="Q215" s="5"/>
      <c r="R215" s="5"/>
      <c r="S215" s="5"/>
      <c r="T215" s="5">
        <v>3</v>
      </c>
      <c r="U215" s="5">
        <v>3</v>
      </c>
      <c r="V215" s="5">
        <v>2</v>
      </c>
      <c r="W215" s="5">
        <v>1</v>
      </c>
      <c r="X215" s="16">
        <f>Lit_rev_final[[#This Row],[Foundationality_1_5]]*0.35+Lit_rev_final[[#This Row],[Topic_Fit_1_5]]*0.35+Lit_rev_final[[#This Row],[Outlet_Quality_1_5]]*0.2+(0.1*Lit_rev_final[[#This Row],[Bridge_Value_0_3]]/3*5)</f>
        <v>2.6666666666666661</v>
      </c>
      <c r="Y215" s="10" t="s">
        <v>566</v>
      </c>
      <c r="Z215" s="5" t="s">
        <v>156</v>
      </c>
      <c r="AA215" s="5" t="s">
        <v>46</v>
      </c>
      <c r="AB215" s="5" t="s">
        <v>46</v>
      </c>
      <c r="AC215" s="16" t="s">
        <v>1369</v>
      </c>
      <c r="AJ215" s="2"/>
    </row>
    <row r="216" spans="1:36" ht="30" customHeight="1" x14ac:dyDescent="0.15">
      <c r="A216" s="5" t="s">
        <v>156</v>
      </c>
      <c r="B216" s="8" t="s">
        <v>1370</v>
      </c>
      <c r="C216" s="8" t="s">
        <v>1371</v>
      </c>
      <c r="D216" s="8" t="s">
        <v>1372</v>
      </c>
      <c r="E216" s="8" t="s">
        <v>1373</v>
      </c>
      <c r="F216" s="5">
        <v>2025</v>
      </c>
      <c r="G216" s="5"/>
      <c r="H216" s="5"/>
      <c r="I216" s="8"/>
      <c r="J216" s="13" t="s">
        <v>1374</v>
      </c>
      <c r="K216" s="8" t="s">
        <v>303</v>
      </c>
      <c r="L216" s="5" t="s">
        <v>233</v>
      </c>
      <c r="M216" s="8" t="s">
        <v>234</v>
      </c>
      <c r="N216" s="8" t="s">
        <v>256</v>
      </c>
      <c r="O216" s="8" t="s">
        <v>120</v>
      </c>
      <c r="P216" s="5">
        <v>3</v>
      </c>
      <c r="Q216" s="5"/>
      <c r="R216" s="5"/>
      <c r="S216" s="5"/>
      <c r="T216" s="5">
        <v>3</v>
      </c>
      <c r="U216" s="5">
        <v>3</v>
      </c>
      <c r="V216" s="5">
        <v>2</v>
      </c>
      <c r="W216" s="5">
        <v>1</v>
      </c>
      <c r="X216" s="16">
        <f>Lit_rev_final[[#This Row],[Foundationality_1_5]]*0.35+Lit_rev_final[[#This Row],[Topic_Fit_1_5]]*0.35+Lit_rev_final[[#This Row],[Outlet_Quality_1_5]]*0.2+(0.1*Lit_rev_final[[#This Row],[Bridge_Value_0_3]]/3*5)</f>
        <v>2.6666666666666661</v>
      </c>
      <c r="Y216" s="10" t="s">
        <v>304</v>
      </c>
      <c r="Z216" s="5" t="s">
        <v>156</v>
      </c>
      <c r="AA216" s="5" t="s">
        <v>46</v>
      </c>
      <c r="AB216" s="5" t="s">
        <v>46</v>
      </c>
      <c r="AC216" s="16" t="s">
        <v>1375</v>
      </c>
      <c r="AJ216" s="2"/>
    </row>
    <row r="217" spans="1:36" ht="30" customHeight="1" x14ac:dyDescent="0.15">
      <c r="A217" s="5" t="s">
        <v>156</v>
      </c>
      <c r="B217" s="8" t="s">
        <v>1376</v>
      </c>
      <c r="C217" s="8" t="s">
        <v>1377</v>
      </c>
      <c r="D217" s="8" t="s">
        <v>1378</v>
      </c>
      <c r="E217" s="8" t="s">
        <v>1379</v>
      </c>
      <c r="F217" s="5">
        <v>2024</v>
      </c>
      <c r="G217" s="5"/>
      <c r="H217" s="5"/>
      <c r="I217" s="8"/>
      <c r="J217" s="13" t="s">
        <v>1380</v>
      </c>
      <c r="K217" s="8" t="s">
        <v>303</v>
      </c>
      <c r="L217" s="5" t="s">
        <v>233</v>
      </c>
      <c r="M217" s="8" t="s">
        <v>234</v>
      </c>
      <c r="N217" s="8" t="s">
        <v>256</v>
      </c>
      <c r="O217" s="8" t="s">
        <v>223</v>
      </c>
      <c r="P217" s="5">
        <v>3</v>
      </c>
      <c r="Q217" s="5"/>
      <c r="R217" s="5"/>
      <c r="S217" s="5"/>
      <c r="T217" s="5">
        <v>3</v>
      </c>
      <c r="U217" s="5">
        <v>3</v>
      </c>
      <c r="V217" s="5">
        <v>2</v>
      </c>
      <c r="W217" s="5">
        <v>1</v>
      </c>
      <c r="X217" s="16">
        <f>Lit_rev_final[[#This Row],[Foundationality_1_5]]*0.35+Lit_rev_final[[#This Row],[Topic_Fit_1_5]]*0.35+Lit_rev_final[[#This Row],[Outlet_Quality_1_5]]*0.2+(0.1*Lit_rev_final[[#This Row],[Bridge_Value_0_3]]/3*5)</f>
        <v>2.6666666666666661</v>
      </c>
      <c r="Y217" s="10" t="s">
        <v>626</v>
      </c>
      <c r="Z217" s="5" t="s">
        <v>156</v>
      </c>
      <c r="AA217" s="5" t="s">
        <v>46</v>
      </c>
      <c r="AB217" s="5" t="s">
        <v>46</v>
      </c>
      <c r="AC217" s="16" t="s">
        <v>1381</v>
      </c>
      <c r="AJ217" s="2"/>
    </row>
    <row r="218" spans="1:36" ht="30" customHeight="1" x14ac:dyDescent="0.15">
      <c r="A218" s="5" t="s">
        <v>156</v>
      </c>
      <c r="B218" s="8" t="s">
        <v>1382</v>
      </c>
      <c r="C218" s="8" t="s">
        <v>1383</v>
      </c>
      <c r="D218" s="8" t="s">
        <v>1384</v>
      </c>
      <c r="E218" s="8" t="s">
        <v>152</v>
      </c>
      <c r="F218" s="5">
        <v>2022</v>
      </c>
      <c r="G218" s="5"/>
      <c r="H218" s="5"/>
      <c r="I218" s="8" t="s">
        <v>1385</v>
      </c>
      <c r="J218" s="13" t="s">
        <v>1386</v>
      </c>
      <c r="K218" s="8" t="s">
        <v>232</v>
      </c>
      <c r="L218" s="5" t="s">
        <v>233</v>
      </c>
      <c r="M218" s="8" t="s">
        <v>234</v>
      </c>
      <c r="N218" s="8" t="s">
        <v>256</v>
      </c>
      <c r="O218" s="8" t="s">
        <v>223</v>
      </c>
      <c r="P218" s="5">
        <v>3</v>
      </c>
      <c r="Q218" s="5"/>
      <c r="R218" s="5"/>
      <c r="S218" s="5"/>
      <c r="T218" s="5">
        <v>3</v>
      </c>
      <c r="U218" s="5">
        <v>3</v>
      </c>
      <c r="V218" s="5">
        <v>2</v>
      </c>
      <c r="W218" s="5">
        <v>1</v>
      </c>
      <c r="X218" s="16">
        <f>Lit_rev_final[[#This Row],[Foundationality_1_5]]*0.35+Lit_rev_final[[#This Row],[Topic_Fit_1_5]]*0.35+Lit_rev_final[[#This Row],[Outlet_Quality_1_5]]*0.2+(0.1*Lit_rev_final[[#This Row],[Bridge_Value_0_3]]/3*5)</f>
        <v>2.6666666666666661</v>
      </c>
      <c r="Y218" s="10" t="s">
        <v>566</v>
      </c>
      <c r="Z218" s="5" t="s">
        <v>156</v>
      </c>
      <c r="AA218" s="5" t="s">
        <v>46</v>
      </c>
      <c r="AB218" s="5" t="s">
        <v>46</v>
      </c>
      <c r="AC218" s="16" t="s">
        <v>1387</v>
      </c>
      <c r="AJ218" s="2"/>
    </row>
    <row r="219" spans="1:36" ht="30" customHeight="1" x14ac:dyDescent="0.15">
      <c r="A219" s="5" t="s">
        <v>156</v>
      </c>
      <c r="B219" s="8" t="s">
        <v>1388</v>
      </c>
      <c r="C219" s="8" t="s">
        <v>1389</v>
      </c>
      <c r="D219" s="8" t="s">
        <v>1390</v>
      </c>
      <c r="E219" s="8" t="s">
        <v>374</v>
      </c>
      <c r="F219" s="5">
        <v>2025</v>
      </c>
      <c r="G219" s="5"/>
      <c r="H219" s="5"/>
      <c r="I219" s="8" t="s">
        <v>1391</v>
      </c>
      <c r="J219" s="13" t="s">
        <v>1392</v>
      </c>
      <c r="K219" s="8" t="s">
        <v>377</v>
      </c>
      <c r="L219" s="5" t="s">
        <v>233</v>
      </c>
      <c r="M219" s="8" t="s">
        <v>46</v>
      </c>
      <c r="N219" s="8" t="s">
        <v>256</v>
      </c>
      <c r="O219" s="8" t="s">
        <v>120</v>
      </c>
      <c r="P219" s="5">
        <v>3</v>
      </c>
      <c r="Q219" s="5"/>
      <c r="R219" s="5"/>
      <c r="S219" s="5"/>
      <c r="T219" s="5">
        <v>3</v>
      </c>
      <c r="U219" s="5">
        <v>3</v>
      </c>
      <c r="V219" s="5">
        <v>2</v>
      </c>
      <c r="W219" s="5">
        <v>1</v>
      </c>
      <c r="X219" s="16">
        <f>Lit_rev_final[[#This Row],[Foundationality_1_5]]*0.35+Lit_rev_final[[#This Row],[Topic_Fit_1_5]]*0.35+Lit_rev_final[[#This Row],[Outlet_Quality_1_5]]*0.2+(0.1*Lit_rev_final[[#This Row],[Bridge_Value_0_3]]/3*5)</f>
        <v>2.6666666666666661</v>
      </c>
      <c r="Y219" s="10" t="s">
        <v>877</v>
      </c>
      <c r="Z219" s="5" t="s">
        <v>156</v>
      </c>
      <c r="AA219" s="5" t="s">
        <v>46</v>
      </c>
      <c r="AB219" s="5" t="s">
        <v>46</v>
      </c>
      <c r="AC219" s="16" t="s">
        <v>1393</v>
      </c>
      <c r="AJ219" s="2"/>
    </row>
    <row r="220" spans="1:36" ht="30" customHeight="1" x14ac:dyDescent="0.15">
      <c r="A220" s="5" t="s">
        <v>156</v>
      </c>
      <c r="B220" s="8" t="s">
        <v>1394</v>
      </c>
      <c r="C220" s="8" t="s">
        <v>1395</v>
      </c>
      <c r="D220" s="8" t="s">
        <v>429</v>
      </c>
      <c r="E220" s="8" t="s">
        <v>430</v>
      </c>
      <c r="F220" s="5">
        <v>2024</v>
      </c>
      <c r="G220" s="5">
        <v>300</v>
      </c>
      <c r="H220" s="5">
        <v>305</v>
      </c>
      <c r="I220" s="8" t="s">
        <v>1396</v>
      </c>
      <c r="J220" s="13" t="s">
        <v>1397</v>
      </c>
      <c r="K220" s="8" t="s">
        <v>232</v>
      </c>
      <c r="L220" s="5" t="s">
        <v>233</v>
      </c>
      <c r="M220" s="8" t="s">
        <v>392</v>
      </c>
      <c r="N220" s="8" t="s">
        <v>256</v>
      </c>
      <c r="O220" s="8" t="s">
        <v>120</v>
      </c>
      <c r="P220" s="5">
        <v>3</v>
      </c>
      <c r="Q220" s="5"/>
      <c r="R220" s="5"/>
      <c r="S220" s="5"/>
      <c r="T220" s="5">
        <v>3</v>
      </c>
      <c r="U220" s="5">
        <v>3</v>
      </c>
      <c r="V220" s="5">
        <v>2</v>
      </c>
      <c r="W220" s="5">
        <v>1</v>
      </c>
      <c r="X220" s="16">
        <f>Lit_rev_final[[#This Row],[Foundationality_1_5]]*0.35+Lit_rev_final[[#This Row],[Topic_Fit_1_5]]*0.35+Lit_rev_final[[#This Row],[Outlet_Quality_1_5]]*0.2+(0.1*Lit_rev_final[[#This Row],[Bridge_Value_0_3]]/3*5)</f>
        <v>2.6666666666666661</v>
      </c>
      <c r="Y220" s="10" t="s">
        <v>581</v>
      </c>
      <c r="Z220" s="5" t="s">
        <v>156</v>
      </c>
      <c r="AA220" s="5" t="s">
        <v>46</v>
      </c>
      <c r="AB220" s="5" t="s">
        <v>46</v>
      </c>
      <c r="AC220" s="16" t="s">
        <v>1398</v>
      </c>
      <c r="AJ220" s="2"/>
    </row>
    <row r="221" spans="1:36" ht="30" customHeight="1" x14ac:dyDescent="0.15">
      <c r="A221" s="5" t="s">
        <v>156</v>
      </c>
      <c r="B221" s="8" t="s">
        <v>1399</v>
      </c>
      <c r="C221" s="8" t="s">
        <v>1400</v>
      </c>
      <c r="D221" s="8" t="s">
        <v>655</v>
      </c>
      <c r="E221" s="8" t="s">
        <v>411</v>
      </c>
      <c r="F221" s="5">
        <v>2026</v>
      </c>
      <c r="G221" s="5"/>
      <c r="H221" s="5"/>
      <c r="I221" s="8" t="s">
        <v>1401</v>
      </c>
      <c r="J221" s="13" t="s">
        <v>1402</v>
      </c>
      <c r="K221" s="8" t="s">
        <v>303</v>
      </c>
      <c r="L221" s="5" t="s">
        <v>233</v>
      </c>
      <c r="M221" s="8" t="s">
        <v>367</v>
      </c>
      <c r="N221" s="8" t="s">
        <v>256</v>
      </c>
      <c r="O221" s="8" t="s">
        <v>120</v>
      </c>
      <c r="P221" s="5">
        <v>3</v>
      </c>
      <c r="Q221" s="5"/>
      <c r="R221" s="5"/>
      <c r="S221" s="5"/>
      <c r="T221" s="5">
        <v>3</v>
      </c>
      <c r="U221" s="5">
        <v>3</v>
      </c>
      <c r="V221" s="5">
        <v>2</v>
      </c>
      <c r="W221" s="5">
        <v>1</v>
      </c>
      <c r="X221" s="16">
        <f>Lit_rev_final[[#This Row],[Foundationality_1_5]]*0.35+Lit_rev_final[[#This Row],[Topic_Fit_1_5]]*0.35+Lit_rev_final[[#This Row],[Outlet_Quality_1_5]]*0.2+(0.1*Lit_rev_final[[#This Row],[Bridge_Value_0_3]]/3*5)</f>
        <v>2.6666666666666661</v>
      </c>
      <c r="Y221" s="10" t="s">
        <v>1062</v>
      </c>
      <c r="Z221" s="5" t="s">
        <v>156</v>
      </c>
      <c r="AA221" s="5" t="s">
        <v>46</v>
      </c>
      <c r="AB221" s="5" t="s">
        <v>46</v>
      </c>
      <c r="AC221" s="16" t="s">
        <v>1403</v>
      </c>
      <c r="AJ221" s="2"/>
    </row>
    <row r="222" spans="1:36" ht="30" customHeight="1" x14ac:dyDescent="0.15">
      <c r="A222" s="5" t="s">
        <v>156</v>
      </c>
      <c r="B222" s="8" t="s">
        <v>1404</v>
      </c>
      <c r="C222" s="8" t="s">
        <v>1405</v>
      </c>
      <c r="D222" s="8" t="s">
        <v>1406</v>
      </c>
      <c r="E222" s="8" t="s">
        <v>152</v>
      </c>
      <c r="F222" s="5">
        <v>2025</v>
      </c>
      <c r="G222" s="5"/>
      <c r="H222" s="5"/>
      <c r="I222" s="8" t="s">
        <v>1407</v>
      </c>
      <c r="J222" s="13" t="s">
        <v>1408</v>
      </c>
      <c r="K222" s="8" t="s">
        <v>232</v>
      </c>
      <c r="L222" s="5" t="s">
        <v>233</v>
      </c>
      <c r="M222" s="8" t="s">
        <v>234</v>
      </c>
      <c r="N222" s="8" t="s">
        <v>256</v>
      </c>
      <c r="O222" s="8" t="s">
        <v>120</v>
      </c>
      <c r="P222" s="5">
        <v>3</v>
      </c>
      <c r="Q222" s="5"/>
      <c r="R222" s="5"/>
      <c r="S222" s="5"/>
      <c r="T222" s="5">
        <v>3</v>
      </c>
      <c r="U222" s="5">
        <v>3</v>
      </c>
      <c r="V222" s="5">
        <v>2</v>
      </c>
      <c r="W222" s="5">
        <v>1</v>
      </c>
      <c r="X222" s="16">
        <f>Lit_rev_final[[#This Row],[Foundationality_1_5]]*0.35+Lit_rev_final[[#This Row],[Topic_Fit_1_5]]*0.35+Lit_rev_final[[#This Row],[Outlet_Quality_1_5]]*0.2+(0.1*Lit_rev_final[[#This Row],[Bridge_Value_0_3]]/3*5)</f>
        <v>2.6666666666666661</v>
      </c>
      <c r="Y222" s="10" t="s">
        <v>1202</v>
      </c>
      <c r="Z222" s="5" t="s">
        <v>156</v>
      </c>
      <c r="AA222" s="5" t="s">
        <v>46</v>
      </c>
      <c r="AB222" s="5" t="s">
        <v>46</v>
      </c>
      <c r="AC222" s="16" t="s">
        <v>1409</v>
      </c>
      <c r="AJ222" s="2"/>
    </row>
    <row r="223" spans="1:36" ht="30" customHeight="1" x14ac:dyDescent="0.15">
      <c r="A223" s="5" t="s">
        <v>156</v>
      </c>
      <c r="B223" s="8" t="s">
        <v>1410</v>
      </c>
      <c r="C223" s="8" t="s">
        <v>1411</v>
      </c>
      <c r="D223" s="8" t="s">
        <v>1193</v>
      </c>
      <c r="E223" s="8" t="s">
        <v>253</v>
      </c>
      <c r="F223" s="5">
        <v>2023</v>
      </c>
      <c r="G223" s="5">
        <v>389</v>
      </c>
      <c r="H223" s="5">
        <v>415</v>
      </c>
      <c r="I223" s="8" t="s">
        <v>1412</v>
      </c>
      <c r="J223" s="13" t="s">
        <v>1413</v>
      </c>
      <c r="K223" s="8" t="s">
        <v>232</v>
      </c>
      <c r="L223" s="5" t="s">
        <v>233</v>
      </c>
      <c r="M223" s="8" t="s">
        <v>234</v>
      </c>
      <c r="N223" s="8" t="s">
        <v>256</v>
      </c>
      <c r="O223" s="8" t="s">
        <v>223</v>
      </c>
      <c r="P223" s="5">
        <v>3</v>
      </c>
      <c r="Q223" s="5"/>
      <c r="R223" s="5"/>
      <c r="S223" s="5"/>
      <c r="T223" s="5">
        <v>3</v>
      </c>
      <c r="U223" s="5">
        <v>3</v>
      </c>
      <c r="V223" s="5">
        <v>2</v>
      </c>
      <c r="W223" s="5">
        <v>1</v>
      </c>
      <c r="X223" s="16">
        <f>Lit_rev_final[[#This Row],[Foundationality_1_5]]*0.35+Lit_rev_final[[#This Row],[Topic_Fit_1_5]]*0.35+Lit_rev_final[[#This Row],[Outlet_Quality_1_5]]*0.2+(0.1*Lit_rev_final[[#This Row],[Bridge_Value_0_3]]/3*5)</f>
        <v>2.6666666666666661</v>
      </c>
      <c r="Y223" s="10" t="s">
        <v>626</v>
      </c>
      <c r="Z223" s="5" t="s">
        <v>156</v>
      </c>
      <c r="AA223" s="5" t="s">
        <v>46</v>
      </c>
      <c r="AB223" s="5" t="s">
        <v>46</v>
      </c>
      <c r="AC223" s="16" t="s">
        <v>1414</v>
      </c>
      <c r="AJ223" s="2"/>
    </row>
    <row r="224" spans="1:36" ht="30" customHeight="1" x14ac:dyDescent="0.15">
      <c r="A224" s="5" t="s">
        <v>156</v>
      </c>
      <c r="B224" s="8" t="s">
        <v>1415</v>
      </c>
      <c r="C224" s="8" t="s">
        <v>1416</v>
      </c>
      <c r="D224" s="8" t="s">
        <v>1417</v>
      </c>
      <c r="E224" s="8" t="s">
        <v>1418</v>
      </c>
      <c r="F224" s="5">
        <v>2024</v>
      </c>
      <c r="G224" s="5"/>
      <c r="H224" s="5"/>
      <c r="I224" s="8"/>
      <c r="J224" s="13" t="s">
        <v>1419</v>
      </c>
      <c r="K224" s="8" t="s">
        <v>303</v>
      </c>
      <c r="L224" s="5" t="s">
        <v>233</v>
      </c>
      <c r="M224" s="8" t="s">
        <v>367</v>
      </c>
      <c r="N224" s="8" t="s">
        <v>256</v>
      </c>
      <c r="O224" s="8" t="s">
        <v>120</v>
      </c>
      <c r="P224" s="5">
        <v>3</v>
      </c>
      <c r="Q224" s="5"/>
      <c r="R224" s="5"/>
      <c r="S224" s="5"/>
      <c r="T224" s="5">
        <v>3</v>
      </c>
      <c r="U224" s="5">
        <v>3</v>
      </c>
      <c r="V224" s="5">
        <v>2</v>
      </c>
      <c r="W224" s="5">
        <v>1</v>
      </c>
      <c r="X224" s="16">
        <f>Lit_rev_final[[#This Row],[Foundationality_1_5]]*0.35+Lit_rev_final[[#This Row],[Topic_Fit_1_5]]*0.35+Lit_rev_final[[#This Row],[Outlet_Quality_1_5]]*0.2+(0.1*Lit_rev_final[[#This Row],[Bridge_Value_0_3]]/3*5)</f>
        <v>2.6666666666666661</v>
      </c>
      <c r="Y224" s="10" t="s">
        <v>581</v>
      </c>
      <c r="Z224" s="5" t="s">
        <v>156</v>
      </c>
      <c r="AA224" s="5" t="s">
        <v>46</v>
      </c>
      <c r="AB224" s="5" t="s">
        <v>46</v>
      </c>
      <c r="AC224" s="16" t="s">
        <v>1420</v>
      </c>
      <c r="AJ224" s="2"/>
    </row>
    <row r="225" spans="1:36" ht="30" customHeight="1" x14ac:dyDescent="0.15">
      <c r="A225" s="5" t="s">
        <v>156</v>
      </c>
      <c r="B225" s="8" t="s">
        <v>1421</v>
      </c>
      <c r="C225" s="8" t="s">
        <v>1422</v>
      </c>
      <c r="D225" s="8" t="s">
        <v>1007</v>
      </c>
      <c r="E225" s="8" t="s">
        <v>404</v>
      </c>
      <c r="F225" s="5">
        <v>2025</v>
      </c>
      <c r="G225" s="5"/>
      <c r="H225" s="5"/>
      <c r="I225" s="8" t="s">
        <v>1423</v>
      </c>
      <c r="J225" s="13" t="s">
        <v>1424</v>
      </c>
      <c r="K225" s="8" t="s">
        <v>303</v>
      </c>
      <c r="L225" s="5" t="s">
        <v>233</v>
      </c>
      <c r="M225" s="8" t="s">
        <v>367</v>
      </c>
      <c r="N225" s="8" t="s">
        <v>256</v>
      </c>
      <c r="O225" s="8" t="s">
        <v>120</v>
      </c>
      <c r="P225" s="5">
        <v>3</v>
      </c>
      <c r="Q225" s="5"/>
      <c r="R225" s="5"/>
      <c r="S225" s="5"/>
      <c r="T225" s="5">
        <v>3</v>
      </c>
      <c r="U225" s="5">
        <v>3</v>
      </c>
      <c r="V225" s="5">
        <v>2</v>
      </c>
      <c r="W225" s="5">
        <v>1</v>
      </c>
      <c r="X225" s="16">
        <f>Lit_rev_final[[#This Row],[Foundationality_1_5]]*0.35+Lit_rev_final[[#This Row],[Topic_Fit_1_5]]*0.35+Lit_rev_final[[#This Row],[Outlet_Quality_1_5]]*0.2+(0.1*Lit_rev_final[[#This Row],[Bridge_Value_0_3]]/3*5)</f>
        <v>2.6666666666666661</v>
      </c>
      <c r="Y225" s="10" t="s">
        <v>851</v>
      </c>
      <c r="Z225" s="5" t="s">
        <v>156</v>
      </c>
      <c r="AA225" s="5" t="s">
        <v>46</v>
      </c>
      <c r="AB225" s="5" t="s">
        <v>46</v>
      </c>
      <c r="AC225" s="16" t="s">
        <v>1425</v>
      </c>
      <c r="AJ225" s="2"/>
    </row>
    <row r="226" spans="1:36" ht="30" customHeight="1" x14ac:dyDescent="0.15">
      <c r="A226" s="5" t="s">
        <v>156</v>
      </c>
      <c r="B226" s="8" t="s">
        <v>1426</v>
      </c>
      <c r="C226" s="8" t="s">
        <v>1427</v>
      </c>
      <c r="D226" s="8" t="s">
        <v>1428</v>
      </c>
      <c r="E226" s="8" t="s">
        <v>1429</v>
      </c>
      <c r="F226" s="5">
        <v>2023</v>
      </c>
      <c r="G226" s="5"/>
      <c r="H226" s="5"/>
      <c r="I226" s="8" t="s">
        <v>1430</v>
      </c>
      <c r="J226" s="13" t="s">
        <v>1431</v>
      </c>
      <c r="K226" s="8" t="s">
        <v>303</v>
      </c>
      <c r="L226" s="5" t="s">
        <v>233</v>
      </c>
      <c r="M226" s="8" t="s">
        <v>234</v>
      </c>
      <c r="N226" s="8" t="s">
        <v>256</v>
      </c>
      <c r="O226" s="8" t="s">
        <v>120</v>
      </c>
      <c r="P226" s="5">
        <v>3</v>
      </c>
      <c r="Q226" s="5" t="s">
        <v>351</v>
      </c>
      <c r="R226" s="5"/>
      <c r="S226" s="5" t="s">
        <v>290</v>
      </c>
      <c r="T226" s="5">
        <v>3</v>
      </c>
      <c r="U226" s="5">
        <v>3</v>
      </c>
      <c r="V226" s="5">
        <v>2</v>
      </c>
      <c r="W226" s="5">
        <v>1</v>
      </c>
      <c r="X226" s="16">
        <f>Lit_rev_final[[#This Row],[Foundationality_1_5]]*0.35+Lit_rev_final[[#This Row],[Topic_Fit_1_5]]*0.35+Lit_rev_final[[#This Row],[Outlet_Quality_1_5]]*0.2+(0.1*Lit_rev_final[[#This Row],[Bridge_Value_0_3]]/3*5)</f>
        <v>2.6666666666666661</v>
      </c>
      <c r="Y226" s="10" t="s">
        <v>581</v>
      </c>
      <c r="Z226" s="5" t="s">
        <v>156</v>
      </c>
      <c r="AA226" s="5" t="s">
        <v>46</v>
      </c>
      <c r="AB226" s="5" t="s">
        <v>46</v>
      </c>
      <c r="AC226" s="16" t="s">
        <v>1432</v>
      </c>
      <c r="AJ226" s="2"/>
    </row>
    <row r="227" spans="1:36" ht="30" customHeight="1" x14ac:dyDescent="0.15">
      <c r="A227" s="5" t="s">
        <v>156</v>
      </c>
      <c r="B227" s="8" t="s">
        <v>1433</v>
      </c>
      <c r="C227" s="8" t="s">
        <v>1434</v>
      </c>
      <c r="D227" s="8" t="s">
        <v>1435</v>
      </c>
      <c r="E227" s="8" t="s">
        <v>1436</v>
      </c>
      <c r="F227" s="5">
        <v>2020</v>
      </c>
      <c r="G227" s="5"/>
      <c r="H227" s="5"/>
      <c r="I227" s="8" t="s">
        <v>1437</v>
      </c>
      <c r="J227" s="13" t="s">
        <v>1438</v>
      </c>
      <c r="K227" s="8" t="s">
        <v>232</v>
      </c>
      <c r="L227" s="5" t="s">
        <v>233</v>
      </c>
      <c r="M227" s="8" t="s">
        <v>234</v>
      </c>
      <c r="N227" s="8" t="s">
        <v>256</v>
      </c>
      <c r="O227" s="8" t="s">
        <v>223</v>
      </c>
      <c r="P227" s="5">
        <v>3</v>
      </c>
      <c r="Q227" s="5"/>
      <c r="R227" s="5"/>
      <c r="S227" s="5"/>
      <c r="T227" s="5">
        <v>3</v>
      </c>
      <c r="U227" s="5">
        <v>3</v>
      </c>
      <c r="V227" s="5">
        <v>2</v>
      </c>
      <c r="W227" s="5">
        <v>1</v>
      </c>
      <c r="X227" s="16">
        <f>Lit_rev_final[[#This Row],[Foundationality_1_5]]*0.35+Lit_rev_final[[#This Row],[Topic_Fit_1_5]]*0.35+Lit_rev_final[[#This Row],[Outlet_Quality_1_5]]*0.2+(0.1*Lit_rev_final[[#This Row],[Bridge_Value_0_3]]/3*5)</f>
        <v>2.6666666666666661</v>
      </c>
      <c r="Y227" s="10" t="s">
        <v>566</v>
      </c>
      <c r="Z227" s="5" t="s">
        <v>156</v>
      </c>
      <c r="AA227" s="5" t="s">
        <v>46</v>
      </c>
      <c r="AB227" s="5" t="s">
        <v>46</v>
      </c>
      <c r="AC227" s="16" t="s">
        <v>1439</v>
      </c>
      <c r="AJ227" s="2"/>
    </row>
    <row r="228" spans="1:36" ht="30" customHeight="1" x14ac:dyDescent="0.15">
      <c r="A228" s="5" t="s">
        <v>156</v>
      </c>
      <c r="B228" s="8" t="s">
        <v>1440</v>
      </c>
      <c r="C228" s="8" t="s">
        <v>1441</v>
      </c>
      <c r="D228" s="8" t="s">
        <v>429</v>
      </c>
      <c r="E228" s="8" t="s">
        <v>430</v>
      </c>
      <c r="F228" s="5">
        <v>2024</v>
      </c>
      <c r="G228" s="5">
        <v>563</v>
      </c>
      <c r="H228" s="5">
        <v>568</v>
      </c>
      <c r="I228" s="8" t="s">
        <v>1442</v>
      </c>
      <c r="J228" s="13" t="s">
        <v>1443</v>
      </c>
      <c r="K228" s="8" t="s">
        <v>232</v>
      </c>
      <c r="L228" s="5" t="s">
        <v>233</v>
      </c>
      <c r="M228" s="8" t="s">
        <v>392</v>
      </c>
      <c r="N228" s="8" t="s">
        <v>256</v>
      </c>
      <c r="O228" s="8" t="s">
        <v>120</v>
      </c>
      <c r="P228" s="5">
        <v>3</v>
      </c>
      <c r="Q228" s="5"/>
      <c r="R228" s="5"/>
      <c r="S228" s="5"/>
      <c r="T228" s="5">
        <v>3</v>
      </c>
      <c r="U228" s="5">
        <v>3</v>
      </c>
      <c r="V228" s="5">
        <v>2</v>
      </c>
      <c r="W228" s="5">
        <v>1</v>
      </c>
      <c r="X228" s="16">
        <f>Lit_rev_final[[#This Row],[Foundationality_1_5]]*0.35+Lit_rev_final[[#This Row],[Topic_Fit_1_5]]*0.35+Lit_rev_final[[#This Row],[Outlet_Quality_1_5]]*0.2+(0.1*Lit_rev_final[[#This Row],[Bridge_Value_0_3]]/3*5)</f>
        <v>2.6666666666666661</v>
      </c>
      <c r="Y228" s="10" t="s">
        <v>877</v>
      </c>
      <c r="Z228" s="5" t="s">
        <v>156</v>
      </c>
      <c r="AA228" s="5" t="s">
        <v>46</v>
      </c>
      <c r="AB228" s="5" t="s">
        <v>46</v>
      </c>
      <c r="AC228" s="16" t="s">
        <v>1444</v>
      </c>
      <c r="AJ228" s="2"/>
    </row>
    <row r="229" spans="1:36" ht="30" customHeight="1" x14ac:dyDescent="0.15">
      <c r="A229" s="5" t="s">
        <v>156</v>
      </c>
      <c r="B229" s="8" t="s">
        <v>1445</v>
      </c>
      <c r="C229" s="8" t="s">
        <v>1446</v>
      </c>
      <c r="D229" s="8" t="s">
        <v>1447</v>
      </c>
      <c r="E229" s="8" t="s">
        <v>1448</v>
      </c>
      <c r="F229" s="5">
        <v>2025</v>
      </c>
      <c r="G229" s="5">
        <v>316</v>
      </c>
      <c r="H229" s="5">
        <v>326</v>
      </c>
      <c r="I229" s="8" t="s">
        <v>1449</v>
      </c>
      <c r="J229" s="13" t="s">
        <v>1450</v>
      </c>
      <c r="K229" s="8" t="s">
        <v>232</v>
      </c>
      <c r="L229" s="5" t="s">
        <v>233</v>
      </c>
      <c r="M229" s="8" t="s">
        <v>234</v>
      </c>
      <c r="N229" s="8" t="s">
        <v>256</v>
      </c>
      <c r="O229" s="8" t="s">
        <v>223</v>
      </c>
      <c r="P229" s="5">
        <v>3</v>
      </c>
      <c r="Q229" s="5"/>
      <c r="R229" s="5"/>
      <c r="S229" s="5"/>
      <c r="T229" s="5">
        <v>3</v>
      </c>
      <c r="U229" s="5">
        <v>3</v>
      </c>
      <c r="V229" s="5">
        <v>2</v>
      </c>
      <c r="W229" s="5">
        <v>1</v>
      </c>
      <c r="X229" s="16">
        <f>Lit_rev_final[[#This Row],[Foundationality_1_5]]*0.35+Lit_rev_final[[#This Row],[Topic_Fit_1_5]]*0.35+Lit_rev_final[[#This Row],[Outlet_Quality_1_5]]*0.2+(0.1*Lit_rev_final[[#This Row],[Bridge_Value_0_3]]/3*5)</f>
        <v>2.6666666666666661</v>
      </c>
      <c r="Y229" s="10" t="s">
        <v>1451</v>
      </c>
      <c r="Z229" s="5" t="s">
        <v>156</v>
      </c>
      <c r="AA229" s="5" t="s">
        <v>46</v>
      </c>
      <c r="AB229" s="5" t="s">
        <v>46</v>
      </c>
      <c r="AC229" s="16" t="s">
        <v>1452</v>
      </c>
      <c r="AJ229" s="2"/>
    </row>
    <row r="230" spans="1:36" ht="30" customHeight="1" x14ac:dyDescent="0.15">
      <c r="A230" s="5" t="s">
        <v>156</v>
      </c>
      <c r="B230" s="8" t="s">
        <v>1453</v>
      </c>
      <c r="C230" s="8" t="s">
        <v>1454</v>
      </c>
      <c r="D230" s="8" t="s">
        <v>1455</v>
      </c>
      <c r="E230" s="8" t="s">
        <v>1436</v>
      </c>
      <c r="F230" s="5">
        <v>2023</v>
      </c>
      <c r="G230" s="5"/>
      <c r="H230" s="5"/>
      <c r="I230" s="8" t="s">
        <v>1456</v>
      </c>
      <c r="J230" s="13" t="s">
        <v>1457</v>
      </c>
      <c r="K230" s="8" t="s">
        <v>232</v>
      </c>
      <c r="L230" s="5" t="s">
        <v>233</v>
      </c>
      <c r="M230" s="8" t="s">
        <v>234</v>
      </c>
      <c r="N230" s="8" t="s">
        <v>256</v>
      </c>
      <c r="O230" s="8" t="s">
        <v>223</v>
      </c>
      <c r="P230" s="5">
        <v>3</v>
      </c>
      <c r="Q230" s="5"/>
      <c r="R230" s="5"/>
      <c r="S230" s="5"/>
      <c r="T230" s="5">
        <v>3</v>
      </c>
      <c r="U230" s="5">
        <v>3</v>
      </c>
      <c r="V230" s="5">
        <v>2</v>
      </c>
      <c r="W230" s="5">
        <v>1</v>
      </c>
      <c r="X230" s="16">
        <f>Lit_rev_final[[#This Row],[Foundationality_1_5]]*0.35+Lit_rev_final[[#This Row],[Topic_Fit_1_5]]*0.35+Lit_rev_final[[#This Row],[Outlet_Quality_1_5]]*0.2+(0.1*Lit_rev_final[[#This Row],[Bridge_Value_0_3]]/3*5)</f>
        <v>2.6666666666666661</v>
      </c>
      <c r="Y230" s="10" t="s">
        <v>626</v>
      </c>
      <c r="Z230" s="5" t="s">
        <v>156</v>
      </c>
      <c r="AA230" s="5" t="s">
        <v>46</v>
      </c>
      <c r="AB230" s="5" t="s">
        <v>46</v>
      </c>
      <c r="AC230" s="16" t="s">
        <v>1458</v>
      </c>
      <c r="AJ230" s="2"/>
    </row>
    <row r="231" spans="1:36" ht="30" customHeight="1" x14ac:dyDescent="0.15">
      <c r="A231" s="5" t="s">
        <v>156</v>
      </c>
      <c r="B231" s="8" t="s">
        <v>1459</v>
      </c>
      <c r="C231" s="8" t="s">
        <v>1460</v>
      </c>
      <c r="D231" s="8" t="s">
        <v>1461</v>
      </c>
      <c r="E231" s="8" t="s">
        <v>1462</v>
      </c>
      <c r="F231" s="5">
        <v>2015</v>
      </c>
      <c r="G231" s="5">
        <v>75</v>
      </c>
      <c r="H231" s="5">
        <v>83</v>
      </c>
      <c r="I231" s="8" t="s">
        <v>1463</v>
      </c>
      <c r="J231" s="13" t="s">
        <v>1464</v>
      </c>
      <c r="K231" s="8" t="s">
        <v>232</v>
      </c>
      <c r="L231" s="5" t="s">
        <v>1219</v>
      </c>
      <c r="M231" s="8" t="s">
        <v>234</v>
      </c>
      <c r="N231" s="8" t="s">
        <v>256</v>
      </c>
      <c r="O231" s="8" t="s">
        <v>223</v>
      </c>
      <c r="P231" s="5">
        <v>3</v>
      </c>
      <c r="Q231" s="5"/>
      <c r="R231" s="5"/>
      <c r="S231" s="5"/>
      <c r="T231" s="5">
        <v>3</v>
      </c>
      <c r="U231" s="5">
        <v>3</v>
      </c>
      <c r="V231" s="5">
        <v>2</v>
      </c>
      <c r="W231" s="5">
        <v>1</v>
      </c>
      <c r="X231" s="16">
        <f>Lit_rev_final[[#This Row],[Foundationality_1_5]]*0.35+Lit_rev_final[[#This Row],[Topic_Fit_1_5]]*0.35+Lit_rev_final[[#This Row],[Outlet_Quality_1_5]]*0.2+(0.1*Lit_rev_final[[#This Row],[Bridge_Value_0_3]]/3*5)</f>
        <v>2.6666666666666661</v>
      </c>
      <c r="Y231" s="10" t="s">
        <v>1465</v>
      </c>
      <c r="Z231" s="5" t="s">
        <v>156</v>
      </c>
      <c r="AA231" s="5" t="s">
        <v>46</v>
      </c>
      <c r="AB231" s="5" t="s">
        <v>46</v>
      </c>
      <c r="AC231" s="16" t="s">
        <v>1466</v>
      </c>
      <c r="AJ231" s="2"/>
    </row>
    <row r="232" spans="1:36" ht="30" customHeight="1" x14ac:dyDescent="0.15">
      <c r="A232" s="5" t="s">
        <v>156</v>
      </c>
      <c r="B232" s="8" t="s">
        <v>1467</v>
      </c>
      <c r="C232" s="8" t="s">
        <v>1468</v>
      </c>
      <c r="D232" s="8" t="s">
        <v>1469</v>
      </c>
      <c r="E232" s="8" t="s">
        <v>1470</v>
      </c>
      <c r="F232" s="5">
        <v>2016</v>
      </c>
      <c r="G232" s="5"/>
      <c r="H232" s="5"/>
      <c r="I232" s="8"/>
      <c r="J232" s="13" t="s">
        <v>1471</v>
      </c>
      <c r="K232" s="8" t="s">
        <v>303</v>
      </c>
      <c r="L232" s="5" t="s">
        <v>233</v>
      </c>
      <c r="M232" s="8" t="s">
        <v>367</v>
      </c>
      <c r="N232" s="8" t="s">
        <v>256</v>
      </c>
      <c r="O232" s="8" t="s">
        <v>223</v>
      </c>
      <c r="P232" s="5">
        <v>3</v>
      </c>
      <c r="Q232" s="5"/>
      <c r="R232" s="5"/>
      <c r="S232" s="5"/>
      <c r="T232" s="5">
        <v>3</v>
      </c>
      <c r="U232" s="5">
        <v>3</v>
      </c>
      <c r="V232" s="5">
        <v>2</v>
      </c>
      <c r="W232" s="5">
        <v>1</v>
      </c>
      <c r="X232" s="16">
        <f>Lit_rev_final[[#This Row],[Foundationality_1_5]]*0.35+Lit_rev_final[[#This Row],[Topic_Fit_1_5]]*0.35+Lit_rev_final[[#This Row],[Outlet_Quality_1_5]]*0.2+(0.1*Lit_rev_final[[#This Row],[Bridge_Value_0_3]]/3*5)</f>
        <v>2.6666666666666661</v>
      </c>
      <c r="Y232" s="10" t="s">
        <v>626</v>
      </c>
      <c r="Z232" s="5" t="s">
        <v>156</v>
      </c>
      <c r="AA232" s="5" t="s">
        <v>46</v>
      </c>
      <c r="AB232" s="5" t="s">
        <v>46</v>
      </c>
      <c r="AC232" s="16" t="s">
        <v>1472</v>
      </c>
      <c r="AJ232" s="2"/>
    </row>
    <row r="233" spans="1:36" ht="30" customHeight="1" x14ac:dyDescent="0.15">
      <c r="A233" s="5" t="s">
        <v>156</v>
      </c>
      <c r="B233" s="8" t="s">
        <v>1473</v>
      </c>
      <c r="C233" s="8" t="s">
        <v>1474</v>
      </c>
      <c r="D233" s="8" t="s">
        <v>1475</v>
      </c>
      <c r="E233" s="8" t="s">
        <v>1476</v>
      </c>
      <c r="F233" s="5">
        <v>2022</v>
      </c>
      <c r="G233" s="5"/>
      <c r="H233" s="5"/>
      <c r="I233" s="8" t="s">
        <v>1477</v>
      </c>
      <c r="J233" s="13" t="s">
        <v>1478</v>
      </c>
      <c r="K233" s="8" t="s">
        <v>232</v>
      </c>
      <c r="L233" s="5" t="s">
        <v>1219</v>
      </c>
      <c r="M233" s="8" t="s">
        <v>234</v>
      </c>
      <c r="N233" s="8" t="s">
        <v>256</v>
      </c>
      <c r="O233" s="8" t="s">
        <v>223</v>
      </c>
      <c r="P233" s="5">
        <v>3</v>
      </c>
      <c r="Q233" s="5"/>
      <c r="R233" s="5"/>
      <c r="S233" s="5"/>
      <c r="T233" s="5">
        <v>3</v>
      </c>
      <c r="U233" s="5">
        <v>3</v>
      </c>
      <c r="V233" s="5">
        <v>2</v>
      </c>
      <c r="W233" s="5">
        <v>1</v>
      </c>
      <c r="X233" s="16">
        <f>Lit_rev_final[[#This Row],[Foundationality_1_5]]*0.35+Lit_rev_final[[#This Row],[Topic_Fit_1_5]]*0.35+Lit_rev_final[[#This Row],[Outlet_Quality_1_5]]*0.2+(0.1*Lit_rev_final[[#This Row],[Bridge_Value_0_3]]/3*5)</f>
        <v>2.6666666666666661</v>
      </c>
      <c r="Y233" s="10" t="s">
        <v>1479</v>
      </c>
      <c r="Z233" s="5" t="s">
        <v>156</v>
      </c>
      <c r="AA233" s="5" t="s">
        <v>46</v>
      </c>
      <c r="AB233" s="5" t="s">
        <v>46</v>
      </c>
      <c r="AC233" s="16" t="s">
        <v>1480</v>
      </c>
      <c r="AJ233" s="2"/>
    </row>
    <row r="234" spans="1:36" ht="30" customHeight="1" x14ac:dyDescent="0.15">
      <c r="A234" s="5" t="s">
        <v>156</v>
      </c>
      <c r="B234" s="8" t="s">
        <v>1481</v>
      </c>
      <c r="C234" s="8" t="s">
        <v>1482</v>
      </c>
      <c r="D234" s="8" t="s">
        <v>1483</v>
      </c>
      <c r="E234" s="8" t="s">
        <v>331</v>
      </c>
      <c r="F234" s="5">
        <v>2024</v>
      </c>
      <c r="G234" s="5"/>
      <c r="H234" s="5"/>
      <c r="I234" s="8" t="s">
        <v>1484</v>
      </c>
      <c r="J234" s="13" t="s">
        <v>1485</v>
      </c>
      <c r="K234" s="8" t="s">
        <v>232</v>
      </c>
      <c r="L234" s="5" t="s">
        <v>233</v>
      </c>
      <c r="M234" s="8" t="s">
        <v>234</v>
      </c>
      <c r="N234" s="8" t="s">
        <v>256</v>
      </c>
      <c r="O234" s="8" t="s">
        <v>223</v>
      </c>
      <c r="P234" s="5">
        <v>3</v>
      </c>
      <c r="Q234" s="5"/>
      <c r="R234" s="5"/>
      <c r="S234" s="5"/>
      <c r="T234" s="5">
        <v>3</v>
      </c>
      <c r="U234" s="5">
        <v>3</v>
      </c>
      <c r="V234" s="5">
        <v>2</v>
      </c>
      <c r="W234" s="5">
        <v>1</v>
      </c>
      <c r="X234" s="16">
        <f>Lit_rev_final[[#This Row],[Foundationality_1_5]]*0.35+Lit_rev_final[[#This Row],[Topic_Fit_1_5]]*0.35+Lit_rev_final[[#This Row],[Outlet_Quality_1_5]]*0.2+(0.1*Lit_rev_final[[#This Row],[Bridge_Value_0_3]]/3*5)</f>
        <v>2.6666666666666661</v>
      </c>
      <c r="Y234" s="10" t="s">
        <v>566</v>
      </c>
      <c r="Z234" s="5" t="s">
        <v>156</v>
      </c>
      <c r="AA234" s="5" t="s">
        <v>46</v>
      </c>
      <c r="AB234" s="5" t="s">
        <v>46</v>
      </c>
      <c r="AC234" s="16" t="s">
        <v>1486</v>
      </c>
      <c r="AJ234" s="2"/>
    </row>
    <row r="235" spans="1:36" ht="30" customHeight="1" x14ac:dyDescent="0.15">
      <c r="A235" s="5" t="s">
        <v>156</v>
      </c>
      <c r="B235" s="8" t="s">
        <v>1487</v>
      </c>
      <c r="C235" s="8" t="s">
        <v>1488</v>
      </c>
      <c r="D235" s="8" t="s">
        <v>1489</v>
      </c>
      <c r="E235" s="8" t="s">
        <v>411</v>
      </c>
      <c r="F235" s="5">
        <v>2023</v>
      </c>
      <c r="G235" s="5"/>
      <c r="H235" s="5"/>
      <c r="I235" s="8" t="s">
        <v>1490</v>
      </c>
      <c r="J235" s="13" t="s">
        <v>1491</v>
      </c>
      <c r="K235" s="8" t="s">
        <v>303</v>
      </c>
      <c r="L235" s="5" t="s">
        <v>233</v>
      </c>
      <c r="M235" s="8" t="s">
        <v>367</v>
      </c>
      <c r="N235" s="8" t="s">
        <v>256</v>
      </c>
      <c r="O235" s="8" t="s">
        <v>223</v>
      </c>
      <c r="P235" s="5">
        <v>3</v>
      </c>
      <c r="Q235" s="5"/>
      <c r="R235" s="5"/>
      <c r="S235" s="5"/>
      <c r="T235" s="5">
        <v>3</v>
      </c>
      <c r="U235" s="5">
        <v>3</v>
      </c>
      <c r="V235" s="5">
        <v>2</v>
      </c>
      <c r="W235" s="5">
        <v>1</v>
      </c>
      <c r="X235" s="16">
        <f>Lit_rev_final[[#This Row],[Foundationality_1_5]]*0.35+Lit_rev_final[[#This Row],[Topic_Fit_1_5]]*0.35+Lit_rev_final[[#This Row],[Outlet_Quality_1_5]]*0.2+(0.1*Lit_rev_final[[#This Row],[Bridge_Value_0_3]]/3*5)</f>
        <v>2.6666666666666661</v>
      </c>
      <c r="Y235" s="10" t="s">
        <v>626</v>
      </c>
      <c r="Z235" s="5" t="s">
        <v>156</v>
      </c>
      <c r="AA235" s="5" t="s">
        <v>46</v>
      </c>
      <c r="AB235" s="5" t="s">
        <v>46</v>
      </c>
      <c r="AC235" s="16" t="s">
        <v>1492</v>
      </c>
      <c r="AJ235" s="2"/>
    </row>
    <row r="236" spans="1:36" ht="30" customHeight="1" x14ac:dyDescent="0.15">
      <c r="A236" s="5" t="s">
        <v>156</v>
      </c>
      <c r="B236" s="8" t="s">
        <v>1493</v>
      </c>
      <c r="C236" s="8" t="s">
        <v>1494</v>
      </c>
      <c r="D236" s="8" t="s">
        <v>1495</v>
      </c>
      <c r="E236" s="8" t="s">
        <v>1496</v>
      </c>
      <c r="F236" s="5">
        <v>2016</v>
      </c>
      <c r="G236" s="5"/>
      <c r="H236" s="5"/>
      <c r="I236" s="8"/>
      <c r="J236" s="13" t="s">
        <v>1497</v>
      </c>
      <c r="K236" s="8" t="s">
        <v>303</v>
      </c>
      <c r="L236" s="5" t="s">
        <v>233</v>
      </c>
      <c r="M236" s="8" t="s">
        <v>234</v>
      </c>
      <c r="N236" s="8" t="s">
        <v>256</v>
      </c>
      <c r="O236" s="8" t="s">
        <v>223</v>
      </c>
      <c r="P236" s="5">
        <v>3</v>
      </c>
      <c r="Q236" s="5"/>
      <c r="R236" s="5"/>
      <c r="S236" s="5"/>
      <c r="T236" s="5">
        <v>3</v>
      </c>
      <c r="U236" s="5">
        <v>3</v>
      </c>
      <c r="V236" s="5">
        <v>2</v>
      </c>
      <c r="W236" s="5">
        <v>1</v>
      </c>
      <c r="X236" s="16">
        <f>Lit_rev_final[[#This Row],[Foundationality_1_5]]*0.35+Lit_rev_final[[#This Row],[Topic_Fit_1_5]]*0.35+Lit_rev_final[[#This Row],[Outlet_Quality_1_5]]*0.2+(0.1*Lit_rev_final[[#This Row],[Bridge_Value_0_3]]/3*5)</f>
        <v>2.6666666666666661</v>
      </c>
      <c r="Y236" s="10" t="s">
        <v>702</v>
      </c>
      <c r="Z236" s="5" t="s">
        <v>156</v>
      </c>
      <c r="AA236" s="5" t="s">
        <v>46</v>
      </c>
      <c r="AB236" s="5" t="s">
        <v>46</v>
      </c>
      <c r="AC236" s="16" t="s">
        <v>1498</v>
      </c>
      <c r="AJ236" s="2"/>
    </row>
    <row r="237" spans="1:36" ht="30" customHeight="1" x14ac:dyDescent="0.15">
      <c r="A237" s="5" t="s">
        <v>156</v>
      </c>
      <c r="B237" s="8" t="s">
        <v>1499</v>
      </c>
      <c r="C237" s="8" t="s">
        <v>1500</v>
      </c>
      <c r="D237" s="8" t="s">
        <v>732</v>
      </c>
      <c r="E237" s="8" t="s">
        <v>152</v>
      </c>
      <c r="F237" s="5">
        <v>2025</v>
      </c>
      <c r="G237" s="5"/>
      <c r="H237" s="5"/>
      <c r="I237" s="8" t="s">
        <v>1501</v>
      </c>
      <c r="J237" s="13" t="s">
        <v>1502</v>
      </c>
      <c r="K237" s="8" t="s">
        <v>232</v>
      </c>
      <c r="L237" s="5" t="s">
        <v>233</v>
      </c>
      <c r="M237" s="8" t="s">
        <v>234</v>
      </c>
      <c r="N237" s="8" t="s">
        <v>256</v>
      </c>
      <c r="O237" s="8" t="s">
        <v>223</v>
      </c>
      <c r="P237" s="5">
        <v>3</v>
      </c>
      <c r="Q237" s="5"/>
      <c r="R237" s="5"/>
      <c r="S237" s="5"/>
      <c r="T237" s="5">
        <v>3</v>
      </c>
      <c r="U237" s="5">
        <v>3</v>
      </c>
      <c r="V237" s="5">
        <v>2</v>
      </c>
      <c r="W237" s="5">
        <v>1</v>
      </c>
      <c r="X237" s="16">
        <f>Lit_rev_final[[#This Row],[Foundationality_1_5]]*0.35+Lit_rev_final[[#This Row],[Topic_Fit_1_5]]*0.35+Lit_rev_final[[#This Row],[Outlet_Quality_1_5]]*0.2+(0.1*Lit_rev_final[[#This Row],[Bridge_Value_0_3]]/3*5)</f>
        <v>2.6666666666666661</v>
      </c>
      <c r="Y237" s="10" t="s">
        <v>702</v>
      </c>
      <c r="Z237" s="5" t="s">
        <v>156</v>
      </c>
      <c r="AA237" s="5" t="s">
        <v>46</v>
      </c>
      <c r="AB237" s="5" t="s">
        <v>46</v>
      </c>
      <c r="AC237" s="16" t="s">
        <v>1503</v>
      </c>
      <c r="AJ237" s="2"/>
    </row>
    <row r="238" spans="1:36" ht="30" customHeight="1" x14ac:dyDescent="0.15">
      <c r="A238" s="5" t="s">
        <v>156</v>
      </c>
      <c r="B238" s="8" t="s">
        <v>1504</v>
      </c>
      <c r="C238" s="8" t="s">
        <v>1505</v>
      </c>
      <c r="D238" s="8" t="s">
        <v>1506</v>
      </c>
      <c r="E238" s="8" t="s">
        <v>1154</v>
      </c>
      <c r="F238" s="5">
        <v>2025</v>
      </c>
      <c r="G238" s="5">
        <v>452</v>
      </c>
      <c r="H238" s="5">
        <v>464</v>
      </c>
      <c r="I238" s="8" t="s">
        <v>1507</v>
      </c>
      <c r="J238" s="13" t="s">
        <v>1508</v>
      </c>
      <c r="K238" s="8" t="s">
        <v>232</v>
      </c>
      <c r="L238" s="5" t="s">
        <v>233</v>
      </c>
      <c r="M238" s="8" t="s">
        <v>234</v>
      </c>
      <c r="N238" s="8" t="s">
        <v>256</v>
      </c>
      <c r="O238" s="8" t="s">
        <v>223</v>
      </c>
      <c r="P238" s="5">
        <v>3</v>
      </c>
      <c r="Q238" s="5"/>
      <c r="R238" s="5"/>
      <c r="S238" s="5"/>
      <c r="T238" s="5">
        <v>3</v>
      </c>
      <c r="U238" s="5">
        <v>3</v>
      </c>
      <c r="V238" s="5">
        <v>2</v>
      </c>
      <c r="W238" s="5">
        <v>1</v>
      </c>
      <c r="X238" s="16">
        <f>Lit_rev_final[[#This Row],[Foundationality_1_5]]*0.35+Lit_rev_final[[#This Row],[Topic_Fit_1_5]]*0.35+Lit_rev_final[[#This Row],[Outlet_Quality_1_5]]*0.2+(0.1*Lit_rev_final[[#This Row],[Bridge_Value_0_3]]/3*5)</f>
        <v>2.6666666666666661</v>
      </c>
      <c r="Y238" s="10" t="s">
        <v>1338</v>
      </c>
      <c r="Z238" s="5" t="s">
        <v>156</v>
      </c>
      <c r="AA238" s="5" t="s">
        <v>46</v>
      </c>
      <c r="AB238" s="5" t="s">
        <v>46</v>
      </c>
      <c r="AC238" s="16" t="s">
        <v>1509</v>
      </c>
      <c r="AJ238" s="2"/>
    </row>
    <row r="239" spans="1:36" ht="30" customHeight="1" x14ac:dyDescent="0.15">
      <c r="A239" s="5" t="s">
        <v>156</v>
      </c>
      <c r="B239" s="8" t="s">
        <v>1510</v>
      </c>
      <c r="C239" s="8" t="s">
        <v>1511</v>
      </c>
      <c r="D239" s="8" t="s">
        <v>1512</v>
      </c>
      <c r="E239" s="8" t="s">
        <v>1513</v>
      </c>
      <c r="F239" s="5">
        <v>2025</v>
      </c>
      <c r="G239" s="5"/>
      <c r="H239" s="5"/>
      <c r="I239" s="8" t="s">
        <v>1514</v>
      </c>
      <c r="J239" s="13" t="s">
        <v>1515</v>
      </c>
      <c r="K239" s="8" t="s">
        <v>232</v>
      </c>
      <c r="L239" s="5" t="s">
        <v>233</v>
      </c>
      <c r="M239" s="8" t="s">
        <v>234</v>
      </c>
      <c r="N239" s="8" t="s">
        <v>256</v>
      </c>
      <c r="O239" s="8" t="s">
        <v>223</v>
      </c>
      <c r="P239" s="5">
        <v>3</v>
      </c>
      <c r="Q239" s="5"/>
      <c r="R239" s="5"/>
      <c r="S239" s="5"/>
      <c r="T239" s="5">
        <v>3</v>
      </c>
      <c r="U239" s="5">
        <v>3</v>
      </c>
      <c r="V239" s="5">
        <v>2</v>
      </c>
      <c r="W239" s="5">
        <v>1</v>
      </c>
      <c r="X239" s="16">
        <f>Lit_rev_final[[#This Row],[Foundationality_1_5]]*0.35+Lit_rev_final[[#This Row],[Topic_Fit_1_5]]*0.35+Lit_rev_final[[#This Row],[Outlet_Quality_1_5]]*0.2+(0.1*Lit_rev_final[[#This Row],[Bridge_Value_0_3]]/3*5)</f>
        <v>2.6666666666666661</v>
      </c>
      <c r="Y239" s="10" t="s">
        <v>702</v>
      </c>
      <c r="Z239" s="5" t="s">
        <v>156</v>
      </c>
      <c r="AA239" s="5" t="s">
        <v>46</v>
      </c>
      <c r="AB239" s="5" t="s">
        <v>46</v>
      </c>
      <c r="AC239" s="16" t="s">
        <v>1516</v>
      </c>
      <c r="AJ239" s="2"/>
    </row>
    <row r="240" spans="1:36" ht="30" customHeight="1" x14ac:dyDescent="0.15">
      <c r="A240" s="5" t="s">
        <v>156</v>
      </c>
      <c r="B240" s="8" t="s">
        <v>1517</v>
      </c>
      <c r="C240" s="8" t="s">
        <v>1518</v>
      </c>
      <c r="D240" s="8" t="s">
        <v>1519</v>
      </c>
      <c r="E240" s="8" t="s">
        <v>1520</v>
      </c>
      <c r="F240" s="5">
        <v>2025</v>
      </c>
      <c r="G240" s="5"/>
      <c r="H240" s="5"/>
      <c r="I240" s="8" t="s">
        <v>1521</v>
      </c>
      <c r="J240" s="13" t="s">
        <v>1522</v>
      </c>
      <c r="K240" s="8" t="s">
        <v>303</v>
      </c>
      <c r="L240" s="5" t="s">
        <v>233</v>
      </c>
      <c r="M240" s="8" t="s">
        <v>367</v>
      </c>
      <c r="N240" s="8" t="s">
        <v>256</v>
      </c>
      <c r="O240" s="8" t="s">
        <v>223</v>
      </c>
      <c r="P240" s="5">
        <v>3</v>
      </c>
      <c r="Q240" s="5"/>
      <c r="R240" s="5"/>
      <c r="S240" s="5"/>
      <c r="T240" s="5">
        <v>3</v>
      </c>
      <c r="U240" s="5">
        <v>3</v>
      </c>
      <c r="V240" s="5">
        <v>2</v>
      </c>
      <c r="W240" s="5">
        <v>1</v>
      </c>
      <c r="X240" s="16">
        <f>Lit_rev_final[[#This Row],[Foundationality_1_5]]*0.35+Lit_rev_final[[#This Row],[Topic_Fit_1_5]]*0.35+Lit_rev_final[[#This Row],[Outlet_Quality_1_5]]*0.2+(0.1*Lit_rev_final[[#This Row],[Bridge_Value_0_3]]/3*5)</f>
        <v>2.6666666666666661</v>
      </c>
      <c r="Y240" s="10" t="s">
        <v>566</v>
      </c>
      <c r="Z240" s="5" t="s">
        <v>156</v>
      </c>
      <c r="AA240" s="5" t="s">
        <v>46</v>
      </c>
      <c r="AB240" s="5" t="s">
        <v>46</v>
      </c>
      <c r="AC240" s="16" t="s">
        <v>1523</v>
      </c>
      <c r="AJ240" s="2"/>
    </row>
    <row r="241" spans="1:36" ht="30" customHeight="1" x14ac:dyDescent="0.15">
      <c r="A241" s="5" t="s">
        <v>156</v>
      </c>
      <c r="B241" s="8" t="s">
        <v>1524</v>
      </c>
      <c r="C241" s="8" t="s">
        <v>1525</v>
      </c>
      <c r="D241" s="8" t="s">
        <v>1526</v>
      </c>
      <c r="E241" s="8" t="s">
        <v>1527</v>
      </c>
      <c r="F241" s="5">
        <v>2025</v>
      </c>
      <c r="G241" s="5"/>
      <c r="H241" s="5"/>
      <c r="I241" s="8" t="s">
        <v>1528</v>
      </c>
      <c r="J241" s="13" t="s">
        <v>1529</v>
      </c>
      <c r="K241" s="8" t="s">
        <v>303</v>
      </c>
      <c r="L241" s="5" t="s">
        <v>233</v>
      </c>
      <c r="M241" s="8" t="s">
        <v>367</v>
      </c>
      <c r="N241" s="8" t="s">
        <v>256</v>
      </c>
      <c r="O241" s="8" t="s">
        <v>223</v>
      </c>
      <c r="P241" s="5">
        <v>3</v>
      </c>
      <c r="Q241" s="5"/>
      <c r="R241" s="5"/>
      <c r="S241" s="5"/>
      <c r="T241" s="5">
        <v>3</v>
      </c>
      <c r="U241" s="5">
        <v>3</v>
      </c>
      <c r="V241" s="5">
        <v>2</v>
      </c>
      <c r="W241" s="5">
        <v>1</v>
      </c>
      <c r="X241" s="16">
        <f>Lit_rev_final[[#This Row],[Foundationality_1_5]]*0.35+Lit_rev_final[[#This Row],[Topic_Fit_1_5]]*0.35+Lit_rev_final[[#This Row],[Outlet_Quality_1_5]]*0.2+(0.1*Lit_rev_final[[#This Row],[Bridge_Value_0_3]]/3*5)</f>
        <v>2.6666666666666661</v>
      </c>
      <c r="Y241" s="10" t="s">
        <v>566</v>
      </c>
      <c r="Z241" s="5" t="s">
        <v>156</v>
      </c>
      <c r="AA241" s="5" t="s">
        <v>46</v>
      </c>
      <c r="AB241" s="5" t="s">
        <v>46</v>
      </c>
      <c r="AC241" s="16" t="s">
        <v>1530</v>
      </c>
      <c r="AJ241" s="2"/>
    </row>
    <row r="242" spans="1:36" ht="30" customHeight="1" x14ac:dyDescent="0.15">
      <c r="A242" s="5" t="s">
        <v>156</v>
      </c>
      <c r="B242" s="8" t="s">
        <v>1531</v>
      </c>
      <c r="C242" s="8" t="s">
        <v>1532</v>
      </c>
      <c r="D242" s="8" t="s">
        <v>1533</v>
      </c>
      <c r="E242" s="8" t="s">
        <v>357</v>
      </c>
      <c r="F242" s="5">
        <v>2025</v>
      </c>
      <c r="G242" s="5">
        <v>6301</v>
      </c>
      <c r="H242" s="5">
        <v>6318</v>
      </c>
      <c r="I242" s="8" t="s">
        <v>1534</v>
      </c>
      <c r="J242" s="13" t="s">
        <v>1535</v>
      </c>
      <c r="K242" s="8" t="s">
        <v>232</v>
      </c>
      <c r="L242" s="5" t="s">
        <v>233</v>
      </c>
      <c r="M242" s="8" t="s">
        <v>234</v>
      </c>
      <c r="N242" s="8" t="s">
        <v>256</v>
      </c>
      <c r="O242" s="8" t="s">
        <v>120</v>
      </c>
      <c r="P242" s="5">
        <v>3</v>
      </c>
      <c r="Q242" s="5"/>
      <c r="R242" s="5"/>
      <c r="S242" s="5"/>
      <c r="T242" s="5">
        <v>3</v>
      </c>
      <c r="U242" s="5">
        <v>3</v>
      </c>
      <c r="V242" s="5">
        <v>2</v>
      </c>
      <c r="W242" s="5">
        <v>1</v>
      </c>
      <c r="X242" s="16">
        <f>Lit_rev_final[[#This Row],[Foundationality_1_5]]*0.35+Lit_rev_final[[#This Row],[Topic_Fit_1_5]]*0.35+Lit_rev_final[[#This Row],[Outlet_Quality_1_5]]*0.2+(0.1*Lit_rev_final[[#This Row],[Bridge_Value_0_3]]/3*5)</f>
        <v>2.6666666666666661</v>
      </c>
      <c r="Y242" s="10" t="s">
        <v>581</v>
      </c>
      <c r="Z242" s="5" t="s">
        <v>156</v>
      </c>
      <c r="AA242" s="5" t="s">
        <v>46</v>
      </c>
      <c r="AB242" s="5" t="s">
        <v>46</v>
      </c>
      <c r="AC242" s="16" t="s">
        <v>1536</v>
      </c>
      <c r="AJ242" s="2"/>
    </row>
    <row r="243" spans="1:36" ht="30" customHeight="1" x14ac:dyDescent="0.15">
      <c r="A243" s="5" t="s">
        <v>156</v>
      </c>
      <c r="B243" s="8" t="s">
        <v>1537</v>
      </c>
      <c r="C243" s="8" t="s">
        <v>1538</v>
      </c>
      <c r="D243" s="8" t="s">
        <v>1539</v>
      </c>
      <c r="E243" s="8" t="s">
        <v>1540</v>
      </c>
      <c r="F243" s="5">
        <v>2022</v>
      </c>
      <c r="G243" s="5">
        <v>216</v>
      </c>
      <c r="H243" s="5">
        <v>226</v>
      </c>
      <c r="I243" s="8" t="s">
        <v>1541</v>
      </c>
      <c r="J243" s="13" t="s">
        <v>1542</v>
      </c>
      <c r="K243" s="8" t="s">
        <v>232</v>
      </c>
      <c r="L243" s="5" t="s">
        <v>233</v>
      </c>
      <c r="M243" s="8" t="s">
        <v>234</v>
      </c>
      <c r="N243" s="8" t="s">
        <v>256</v>
      </c>
      <c r="O243" s="8" t="s">
        <v>223</v>
      </c>
      <c r="P243" s="5">
        <v>3</v>
      </c>
      <c r="Q243" s="5"/>
      <c r="R243" s="5"/>
      <c r="S243" s="5"/>
      <c r="T243" s="5">
        <v>3</v>
      </c>
      <c r="U243" s="5">
        <v>3</v>
      </c>
      <c r="V243" s="5">
        <v>2</v>
      </c>
      <c r="W243" s="5">
        <v>1</v>
      </c>
      <c r="X243" s="16">
        <f>Lit_rev_final[[#This Row],[Foundationality_1_5]]*0.35+Lit_rev_final[[#This Row],[Topic_Fit_1_5]]*0.35+Lit_rev_final[[#This Row],[Outlet_Quality_1_5]]*0.2+(0.1*Lit_rev_final[[#This Row],[Bridge_Value_0_3]]/3*5)</f>
        <v>2.6666666666666661</v>
      </c>
      <c r="Y243" s="10" t="s">
        <v>566</v>
      </c>
      <c r="Z243" s="5" t="s">
        <v>156</v>
      </c>
      <c r="AA243" s="5" t="s">
        <v>46</v>
      </c>
      <c r="AB243" s="5" t="s">
        <v>46</v>
      </c>
      <c r="AC243" s="16" t="s">
        <v>1543</v>
      </c>
      <c r="AJ243" s="2"/>
    </row>
    <row r="244" spans="1:36" ht="30" customHeight="1" x14ac:dyDescent="0.15">
      <c r="A244" s="5" t="s">
        <v>156</v>
      </c>
      <c r="B244" s="8" t="s">
        <v>1544</v>
      </c>
      <c r="C244" s="8" t="s">
        <v>1545</v>
      </c>
      <c r="D244" s="8" t="s">
        <v>597</v>
      </c>
      <c r="E244" s="8" t="s">
        <v>152</v>
      </c>
      <c r="F244" s="5">
        <v>2025</v>
      </c>
      <c r="G244" s="5"/>
      <c r="H244" s="5"/>
      <c r="I244" s="8" t="s">
        <v>1546</v>
      </c>
      <c r="J244" s="13" t="s">
        <v>1547</v>
      </c>
      <c r="K244" s="8" t="s">
        <v>232</v>
      </c>
      <c r="L244" s="5" t="s">
        <v>233</v>
      </c>
      <c r="M244" s="8" t="s">
        <v>234</v>
      </c>
      <c r="N244" s="8" t="s">
        <v>256</v>
      </c>
      <c r="O244" s="8" t="s">
        <v>223</v>
      </c>
      <c r="P244" s="5">
        <v>3</v>
      </c>
      <c r="Q244" s="5"/>
      <c r="R244" s="5"/>
      <c r="S244" s="5"/>
      <c r="T244" s="5">
        <v>3</v>
      </c>
      <c r="U244" s="5">
        <v>3</v>
      </c>
      <c r="V244" s="5">
        <v>2</v>
      </c>
      <c r="W244" s="5">
        <v>1</v>
      </c>
      <c r="X244" s="16">
        <f>Lit_rev_final[[#This Row],[Foundationality_1_5]]*0.35+Lit_rev_final[[#This Row],[Topic_Fit_1_5]]*0.35+Lit_rev_final[[#This Row],[Outlet_Quality_1_5]]*0.2+(0.1*Lit_rev_final[[#This Row],[Bridge_Value_0_3]]/3*5)</f>
        <v>2.6666666666666661</v>
      </c>
      <c r="Y244" s="10" t="s">
        <v>566</v>
      </c>
      <c r="Z244" s="5" t="s">
        <v>156</v>
      </c>
      <c r="AA244" s="5" t="s">
        <v>46</v>
      </c>
      <c r="AB244" s="5" t="s">
        <v>46</v>
      </c>
      <c r="AC244" s="16" t="s">
        <v>1548</v>
      </c>
      <c r="AJ244" s="2"/>
    </row>
    <row r="245" spans="1:36" ht="30" customHeight="1" x14ac:dyDescent="0.15">
      <c r="A245" s="5" t="s">
        <v>156</v>
      </c>
      <c r="B245" s="8" t="s">
        <v>1549</v>
      </c>
      <c r="C245" s="8" t="s">
        <v>1550</v>
      </c>
      <c r="D245" s="8" t="s">
        <v>1551</v>
      </c>
      <c r="E245" s="8" t="s">
        <v>789</v>
      </c>
      <c r="F245" s="5">
        <v>2025</v>
      </c>
      <c r="G245" s="5"/>
      <c r="H245" s="5"/>
      <c r="I245" s="8" t="s">
        <v>1552</v>
      </c>
      <c r="J245" s="13" t="s">
        <v>1553</v>
      </c>
      <c r="K245" s="8" t="s">
        <v>232</v>
      </c>
      <c r="L245" s="5" t="s">
        <v>233</v>
      </c>
      <c r="M245" s="8" t="s">
        <v>234</v>
      </c>
      <c r="N245" s="8" t="s">
        <v>256</v>
      </c>
      <c r="O245" s="8" t="s">
        <v>223</v>
      </c>
      <c r="P245" s="5">
        <v>3</v>
      </c>
      <c r="Q245" s="5"/>
      <c r="R245" s="5"/>
      <c r="S245" s="5"/>
      <c r="T245" s="5">
        <v>3</v>
      </c>
      <c r="U245" s="5">
        <v>3</v>
      </c>
      <c r="V245" s="5">
        <v>2</v>
      </c>
      <c r="W245" s="5">
        <v>1</v>
      </c>
      <c r="X245" s="16">
        <f>Lit_rev_final[[#This Row],[Foundationality_1_5]]*0.35+Lit_rev_final[[#This Row],[Topic_Fit_1_5]]*0.35+Lit_rev_final[[#This Row],[Outlet_Quality_1_5]]*0.2+(0.1*Lit_rev_final[[#This Row],[Bridge_Value_0_3]]/3*5)</f>
        <v>2.6666666666666661</v>
      </c>
      <c r="Y245" s="10" t="s">
        <v>626</v>
      </c>
      <c r="Z245" s="5" t="s">
        <v>156</v>
      </c>
      <c r="AA245" s="5" t="s">
        <v>46</v>
      </c>
      <c r="AB245" s="5" t="s">
        <v>46</v>
      </c>
      <c r="AC245" s="16" t="s">
        <v>1554</v>
      </c>
      <c r="AJ245" s="2"/>
    </row>
    <row r="246" spans="1:36" ht="30" customHeight="1" x14ac:dyDescent="0.15">
      <c r="A246" s="5" t="s">
        <v>156</v>
      </c>
      <c r="B246" s="8" t="s">
        <v>1555</v>
      </c>
      <c r="C246" s="8" t="s">
        <v>1556</v>
      </c>
      <c r="D246" s="8" t="s">
        <v>1557</v>
      </c>
      <c r="E246" s="8" t="s">
        <v>1558</v>
      </c>
      <c r="F246" s="5">
        <v>2025</v>
      </c>
      <c r="G246" s="5"/>
      <c r="H246" s="5"/>
      <c r="I246" s="8" t="s">
        <v>1559</v>
      </c>
      <c r="J246" s="13" t="s">
        <v>1560</v>
      </c>
      <c r="K246" s="8" t="s">
        <v>303</v>
      </c>
      <c r="L246" s="5" t="s">
        <v>233</v>
      </c>
      <c r="M246" s="8" t="s">
        <v>367</v>
      </c>
      <c r="N246" s="8" t="s">
        <v>256</v>
      </c>
      <c r="O246" s="8" t="s">
        <v>223</v>
      </c>
      <c r="P246" s="5">
        <v>3</v>
      </c>
      <c r="Q246" s="5"/>
      <c r="R246" s="5"/>
      <c r="S246" s="5"/>
      <c r="T246" s="5">
        <v>3</v>
      </c>
      <c r="U246" s="5">
        <v>3</v>
      </c>
      <c r="V246" s="5">
        <v>2</v>
      </c>
      <c r="W246" s="5">
        <v>1</v>
      </c>
      <c r="X246" s="16">
        <f>Lit_rev_final[[#This Row],[Foundationality_1_5]]*0.35+Lit_rev_final[[#This Row],[Topic_Fit_1_5]]*0.35+Lit_rev_final[[#This Row],[Outlet_Quality_1_5]]*0.2+(0.1*Lit_rev_final[[#This Row],[Bridge_Value_0_3]]/3*5)</f>
        <v>2.6666666666666661</v>
      </c>
      <c r="Y246" s="10" t="s">
        <v>566</v>
      </c>
      <c r="Z246" s="5" t="s">
        <v>156</v>
      </c>
      <c r="AA246" s="5" t="s">
        <v>46</v>
      </c>
      <c r="AB246" s="5" t="s">
        <v>46</v>
      </c>
      <c r="AC246" s="16" t="s">
        <v>1561</v>
      </c>
      <c r="AJ246" s="2"/>
    </row>
    <row r="247" spans="1:36" ht="30" customHeight="1" x14ac:dyDescent="0.15">
      <c r="A247" s="5" t="s">
        <v>156</v>
      </c>
      <c r="B247" s="8" t="s">
        <v>1562</v>
      </c>
      <c r="C247" s="8" t="s">
        <v>1563</v>
      </c>
      <c r="D247" s="8" t="s">
        <v>1564</v>
      </c>
      <c r="E247" s="8" t="s">
        <v>1565</v>
      </c>
      <c r="F247" s="5">
        <v>2017</v>
      </c>
      <c r="G247" s="5"/>
      <c r="H247" s="5"/>
      <c r="I247" s="8"/>
      <c r="J247" s="13" t="s">
        <v>1566</v>
      </c>
      <c r="K247" s="8" t="s">
        <v>303</v>
      </c>
      <c r="L247" s="5" t="s">
        <v>233</v>
      </c>
      <c r="M247" s="8" t="s">
        <v>234</v>
      </c>
      <c r="N247" s="8" t="s">
        <v>256</v>
      </c>
      <c r="O247" s="8" t="s">
        <v>223</v>
      </c>
      <c r="P247" s="5">
        <v>3</v>
      </c>
      <c r="Q247" s="5"/>
      <c r="R247" s="5"/>
      <c r="S247" s="5"/>
      <c r="T247" s="5">
        <v>3</v>
      </c>
      <c r="U247" s="5">
        <v>3</v>
      </c>
      <c r="V247" s="5">
        <v>2</v>
      </c>
      <c r="W247" s="5">
        <v>1</v>
      </c>
      <c r="X247" s="16">
        <f>Lit_rev_final[[#This Row],[Foundationality_1_5]]*0.35+Lit_rev_final[[#This Row],[Topic_Fit_1_5]]*0.35+Lit_rev_final[[#This Row],[Outlet_Quality_1_5]]*0.2+(0.1*Lit_rev_final[[#This Row],[Bridge_Value_0_3]]/3*5)</f>
        <v>2.6666666666666661</v>
      </c>
      <c r="Y247" s="10" t="s">
        <v>626</v>
      </c>
      <c r="Z247" s="5" t="s">
        <v>156</v>
      </c>
      <c r="AA247" s="5" t="s">
        <v>46</v>
      </c>
      <c r="AB247" s="5" t="s">
        <v>46</v>
      </c>
      <c r="AC247" s="16" t="s">
        <v>1567</v>
      </c>
      <c r="AJ247" s="2"/>
    </row>
    <row r="248" spans="1:36" ht="30" customHeight="1" x14ac:dyDescent="0.15">
      <c r="A248" s="5" t="s">
        <v>156</v>
      </c>
      <c r="B248" s="8" t="s">
        <v>1568</v>
      </c>
      <c r="C248" s="8" t="s">
        <v>1569</v>
      </c>
      <c r="D248" s="8" t="s">
        <v>1570</v>
      </c>
      <c r="E248" s="8" t="s">
        <v>1571</v>
      </c>
      <c r="F248" s="5">
        <v>2023</v>
      </c>
      <c r="G248" s="5">
        <v>1703</v>
      </c>
      <c r="H248" s="5">
        <v>1716</v>
      </c>
      <c r="I248" s="8" t="s">
        <v>1572</v>
      </c>
      <c r="J248" s="13" t="s">
        <v>1573</v>
      </c>
      <c r="K248" s="8" t="s">
        <v>232</v>
      </c>
      <c r="L248" s="5" t="s">
        <v>233</v>
      </c>
      <c r="M248" s="8" t="s">
        <v>234</v>
      </c>
      <c r="N248" s="8" t="s">
        <v>256</v>
      </c>
      <c r="O248" s="8" t="s">
        <v>223</v>
      </c>
      <c r="P248" s="5">
        <v>3</v>
      </c>
      <c r="Q248" s="5"/>
      <c r="R248" s="5"/>
      <c r="S248" s="5"/>
      <c r="T248" s="5">
        <v>3</v>
      </c>
      <c r="U248" s="5">
        <v>3</v>
      </c>
      <c r="V248" s="5">
        <v>2</v>
      </c>
      <c r="W248" s="5">
        <v>1</v>
      </c>
      <c r="X248" s="16">
        <f>Lit_rev_final[[#This Row],[Foundationality_1_5]]*0.35+Lit_rev_final[[#This Row],[Topic_Fit_1_5]]*0.35+Lit_rev_final[[#This Row],[Outlet_Quality_1_5]]*0.2+(0.1*Lit_rev_final[[#This Row],[Bridge_Value_0_3]]/3*5)</f>
        <v>2.6666666666666661</v>
      </c>
      <c r="Y248" s="10" t="s">
        <v>566</v>
      </c>
      <c r="Z248" s="5" t="s">
        <v>156</v>
      </c>
      <c r="AA248" s="5" t="s">
        <v>46</v>
      </c>
      <c r="AB248" s="5" t="s">
        <v>46</v>
      </c>
      <c r="AC248" s="16" t="s">
        <v>1574</v>
      </c>
      <c r="AJ248" s="2"/>
    </row>
    <row r="249" spans="1:36" ht="30" customHeight="1" x14ac:dyDescent="0.15">
      <c r="A249" s="5" t="s">
        <v>156</v>
      </c>
      <c r="B249" s="8" t="s">
        <v>1575</v>
      </c>
      <c r="C249" s="8" t="s">
        <v>1576</v>
      </c>
      <c r="D249" s="8" t="s">
        <v>1153</v>
      </c>
      <c r="E249" s="8" t="s">
        <v>1577</v>
      </c>
      <c r="F249" s="5">
        <v>2024</v>
      </c>
      <c r="G249" s="5"/>
      <c r="H249" s="5"/>
      <c r="I249" s="8" t="s">
        <v>1578</v>
      </c>
      <c r="J249" s="13" t="s">
        <v>1579</v>
      </c>
      <c r="K249" s="8" t="s">
        <v>232</v>
      </c>
      <c r="L249" s="5" t="s">
        <v>233</v>
      </c>
      <c r="M249" s="8" t="s">
        <v>234</v>
      </c>
      <c r="N249" s="8" t="s">
        <v>256</v>
      </c>
      <c r="O249" s="8" t="s">
        <v>223</v>
      </c>
      <c r="P249" s="5">
        <v>3</v>
      </c>
      <c r="Q249" s="5"/>
      <c r="R249" s="5"/>
      <c r="S249" s="5"/>
      <c r="T249" s="5">
        <v>3</v>
      </c>
      <c r="U249" s="5">
        <v>3</v>
      </c>
      <c r="V249" s="5">
        <v>2</v>
      </c>
      <c r="W249" s="5">
        <v>1</v>
      </c>
      <c r="X249" s="16">
        <f>Lit_rev_final[[#This Row],[Foundationality_1_5]]*0.35+Lit_rev_final[[#This Row],[Topic_Fit_1_5]]*0.35+Lit_rev_final[[#This Row],[Outlet_Quality_1_5]]*0.2+(0.1*Lit_rev_final[[#This Row],[Bridge_Value_0_3]]/3*5)</f>
        <v>2.6666666666666661</v>
      </c>
      <c r="Y249" s="10" t="s">
        <v>566</v>
      </c>
      <c r="Z249" s="5" t="s">
        <v>156</v>
      </c>
      <c r="AA249" s="5" t="s">
        <v>46</v>
      </c>
      <c r="AB249" s="5" t="s">
        <v>46</v>
      </c>
      <c r="AC249" s="16" t="s">
        <v>1580</v>
      </c>
      <c r="AJ249" s="2"/>
    </row>
    <row r="250" spans="1:36" ht="30" customHeight="1" x14ac:dyDescent="0.15">
      <c r="A250" s="5" t="s">
        <v>156</v>
      </c>
      <c r="B250" s="8" t="s">
        <v>1581</v>
      </c>
      <c r="C250" s="8" t="s">
        <v>1582</v>
      </c>
      <c r="D250" s="8" t="s">
        <v>1583</v>
      </c>
      <c r="E250" s="8" t="s">
        <v>1584</v>
      </c>
      <c r="F250" s="5">
        <v>2023</v>
      </c>
      <c r="G250" s="5"/>
      <c r="H250" s="5"/>
      <c r="I250" s="8" t="s">
        <v>1585</v>
      </c>
      <c r="J250" s="13" t="s">
        <v>1586</v>
      </c>
      <c r="K250" s="8" t="s">
        <v>232</v>
      </c>
      <c r="L250" s="5" t="s">
        <v>233</v>
      </c>
      <c r="M250" s="8" t="s">
        <v>234</v>
      </c>
      <c r="N250" s="8" t="s">
        <v>256</v>
      </c>
      <c r="O250" s="8" t="s">
        <v>223</v>
      </c>
      <c r="P250" s="5">
        <v>3</v>
      </c>
      <c r="Q250" s="5"/>
      <c r="R250" s="5"/>
      <c r="S250" s="5"/>
      <c r="T250" s="5">
        <v>3</v>
      </c>
      <c r="U250" s="5">
        <v>3</v>
      </c>
      <c r="V250" s="5">
        <v>2</v>
      </c>
      <c r="W250" s="5">
        <v>1</v>
      </c>
      <c r="X250" s="16">
        <f>Lit_rev_final[[#This Row],[Foundationality_1_5]]*0.35+Lit_rev_final[[#This Row],[Topic_Fit_1_5]]*0.35+Lit_rev_final[[#This Row],[Outlet_Quality_1_5]]*0.2+(0.1*Lit_rev_final[[#This Row],[Bridge_Value_0_3]]/3*5)</f>
        <v>2.6666666666666661</v>
      </c>
      <c r="Y250" s="10" t="s">
        <v>702</v>
      </c>
      <c r="Z250" s="5" t="s">
        <v>156</v>
      </c>
      <c r="AA250" s="5" t="s">
        <v>46</v>
      </c>
      <c r="AB250" s="5" t="s">
        <v>46</v>
      </c>
      <c r="AC250" s="16" t="s">
        <v>1587</v>
      </c>
      <c r="AJ250" s="2"/>
    </row>
    <row r="251" spans="1:36" ht="30" customHeight="1" x14ac:dyDescent="0.15">
      <c r="A251" s="5" t="s">
        <v>156</v>
      </c>
      <c r="B251" s="8" t="s">
        <v>1588</v>
      </c>
      <c r="C251" s="8" t="s">
        <v>1589</v>
      </c>
      <c r="D251" s="8" t="s">
        <v>1590</v>
      </c>
      <c r="E251" s="8" t="s">
        <v>1591</v>
      </c>
      <c r="F251" s="5">
        <v>2025</v>
      </c>
      <c r="G251" s="5"/>
      <c r="H251" s="5"/>
      <c r="I251" s="8" t="s">
        <v>1592</v>
      </c>
      <c r="J251" s="13" t="s">
        <v>1593</v>
      </c>
      <c r="K251" s="8" t="s">
        <v>303</v>
      </c>
      <c r="L251" s="5" t="s">
        <v>233</v>
      </c>
      <c r="M251" s="8" t="s">
        <v>234</v>
      </c>
      <c r="N251" s="8" t="s">
        <v>256</v>
      </c>
      <c r="O251" s="8" t="s">
        <v>223</v>
      </c>
      <c r="P251" s="5">
        <v>3</v>
      </c>
      <c r="Q251" s="5"/>
      <c r="R251" s="5"/>
      <c r="S251" s="5"/>
      <c r="T251" s="5">
        <v>3</v>
      </c>
      <c r="U251" s="5">
        <v>3</v>
      </c>
      <c r="V251" s="5">
        <v>2</v>
      </c>
      <c r="W251" s="5">
        <v>1</v>
      </c>
      <c r="X251" s="16">
        <f>Lit_rev_final[[#This Row],[Foundationality_1_5]]*0.35+Lit_rev_final[[#This Row],[Topic_Fit_1_5]]*0.35+Lit_rev_final[[#This Row],[Outlet_Quality_1_5]]*0.2+(0.1*Lit_rev_final[[#This Row],[Bridge_Value_0_3]]/3*5)</f>
        <v>2.6666666666666661</v>
      </c>
      <c r="Y251" s="10" t="s">
        <v>566</v>
      </c>
      <c r="Z251" s="5" t="s">
        <v>156</v>
      </c>
      <c r="AA251" s="5" t="s">
        <v>46</v>
      </c>
      <c r="AB251" s="5" t="s">
        <v>46</v>
      </c>
      <c r="AC251" s="16" t="s">
        <v>1594</v>
      </c>
      <c r="AJ251" s="2"/>
    </row>
    <row r="252" spans="1:36" ht="30" customHeight="1" x14ac:dyDescent="0.15">
      <c r="A252" s="5" t="s">
        <v>156</v>
      </c>
      <c r="B252" s="8" t="s">
        <v>1595</v>
      </c>
      <c r="C252" s="8" t="s">
        <v>1596</v>
      </c>
      <c r="D252" s="8" t="s">
        <v>1597</v>
      </c>
      <c r="E252" s="8" t="s">
        <v>1598</v>
      </c>
      <c r="F252" s="5">
        <v>2025</v>
      </c>
      <c r="G252" s="5"/>
      <c r="H252" s="5"/>
      <c r="I252" s="8" t="s">
        <v>1599</v>
      </c>
      <c r="J252" s="13" t="s">
        <v>1600</v>
      </c>
      <c r="K252" s="8" t="s">
        <v>303</v>
      </c>
      <c r="L252" s="5" t="s">
        <v>233</v>
      </c>
      <c r="M252" s="8" t="s">
        <v>234</v>
      </c>
      <c r="N252" s="8" t="s">
        <v>256</v>
      </c>
      <c r="O252" s="8" t="s">
        <v>223</v>
      </c>
      <c r="P252" s="5">
        <v>3</v>
      </c>
      <c r="Q252" s="5" t="s">
        <v>351</v>
      </c>
      <c r="R252" s="5"/>
      <c r="S252" s="5" t="s">
        <v>290</v>
      </c>
      <c r="T252" s="5">
        <v>3</v>
      </c>
      <c r="U252" s="5">
        <v>3</v>
      </c>
      <c r="V252" s="5">
        <v>2</v>
      </c>
      <c r="W252" s="5">
        <v>1</v>
      </c>
      <c r="X252" s="16">
        <f>Lit_rev_final[[#This Row],[Foundationality_1_5]]*0.35+Lit_rev_final[[#This Row],[Topic_Fit_1_5]]*0.35+Lit_rev_final[[#This Row],[Outlet_Quality_1_5]]*0.2+(0.1*Lit_rev_final[[#This Row],[Bridge_Value_0_3]]/3*5)</f>
        <v>2.6666666666666661</v>
      </c>
      <c r="Y252" s="10" t="s">
        <v>566</v>
      </c>
      <c r="Z252" s="5" t="s">
        <v>156</v>
      </c>
      <c r="AA252" s="5" t="s">
        <v>46</v>
      </c>
      <c r="AB252" s="5" t="s">
        <v>46</v>
      </c>
      <c r="AC252" s="16" t="s">
        <v>1601</v>
      </c>
      <c r="AJ252" s="2"/>
    </row>
    <row r="253" spans="1:36" ht="30" customHeight="1" x14ac:dyDescent="0.15">
      <c r="A253" s="5" t="s">
        <v>156</v>
      </c>
      <c r="B253" s="8" t="s">
        <v>1602</v>
      </c>
      <c r="C253" s="8" t="s">
        <v>1603</v>
      </c>
      <c r="D253" s="8" t="s">
        <v>597</v>
      </c>
      <c r="E253" s="8" t="s">
        <v>152</v>
      </c>
      <c r="F253" s="5">
        <v>2025</v>
      </c>
      <c r="G253" s="5"/>
      <c r="H253" s="5"/>
      <c r="I253" s="8" t="s">
        <v>1604</v>
      </c>
      <c r="J253" s="13" t="s">
        <v>1605</v>
      </c>
      <c r="K253" s="8" t="s">
        <v>232</v>
      </c>
      <c r="L253" s="5" t="s">
        <v>233</v>
      </c>
      <c r="M253" s="8" t="s">
        <v>234</v>
      </c>
      <c r="N253" s="8" t="s">
        <v>256</v>
      </c>
      <c r="O253" s="8" t="s">
        <v>120</v>
      </c>
      <c r="P253" s="5">
        <v>3</v>
      </c>
      <c r="Q253" s="5"/>
      <c r="R253" s="5"/>
      <c r="S253" s="5"/>
      <c r="T253" s="5">
        <v>3</v>
      </c>
      <c r="U253" s="5">
        <v>3</v>
      </c>
      <c r="V253" s="5">
        <v>2</v>
      </c>
      <c r="W253" s="5">
        <v>1</v>
      </c>
      <c r="X253" s="16">
        <f>Lit_rev_final[[#This Row],[Foundationality_1_5]]*0.35+Lit_rev_final[[#This Row],[Topic_Fit_1_5]]*0.35+Lit_rev_final[[#This Row],[Outlet_Quality_1_5]]*0.2+(0.1*Lit_rev_final[[#This Row],[Bridge_Value_0_3]]/3*5)</f>
        <v>2.6666666666666661</v>
      </c>
      <c r="Y253" s="10" t="s">
        <v>581</v>
      </c>
      <c r="Z253" s="5" t="s">
        <v>156</v>
      </c>
      <c r="AA253" s="5" t="s">
        <v>46</v>
      </c>
      <c r="AB253" s="5" t="s">
        <v>46</v>
      </c>
      <c r="AC253" s="5">
        <v>55</v>
      </c>
      <c r="AJ253" s="2"/>
    </row>
    <row r="254" spans="1:36" ht="30" customHeight="1" x14ac:dyDescent="0.15">
      <c r="A254" s="5" t="s">
        <v>156</v>
      </c>
      <c r="B254" s="8" t="s">
        <v>1606</v>
      </c>
      <c r="C254" s="8" t="s">
        <v>1607</v>
      </c>
      <c r="D254" s="8" t="s">
        <v>1608</v>
      </c>
      <c r="E254" s="8" t="s">
        <v>229</v>
      </c>
      <c r="F254" s="5">
        <v>2020</v>
      </c>
      <c r="G254" s="5"/>
      <c r="H254" s="5"/>
      <c r="I254" s="8" t="s">
        <v>1609</v>
      </c>
      <c r="J254" s="13" t="s">
        <v>1610</v>
      </c>
      <c r="K254" s="8" t="s">
        <v>232</v>
      </c>
      <c r="L254" s="5" t="s">
        <v>233</v>
      </c>
      <c r="M254" s="8" t="s">
        <v>234</v>
      </c>
      <c r="N254" s="8" t="s">
        <v>256</v>
      </c>
      <c r="O254" s="8" t="s">
        <v>223</v>
      </c>
      <c r="P254" s="5">
        <v>3</v>
      </c>
      <c r="Q254" s="5"/>
      <c r="R254" s="5"/>
      <c r="S254" s="5"/>
      <c r="T254" s="5">
        <v>3</v>
      </c>
      <c r="U254" s="5">
        <v>3</v>
      </c>
      <c r="V254" s="5">
        <v>2</v>
      </c>
      <c r="W254" s="5">
        <v>1</v>
      </c>
      <c r="X254" s="16">
        <f>Lit_rev_final[[#This Row],[Foundationality_1_5]]*0.35+Lit_rev_final[[#This Row],[Topic_Fit_1_5]]*0.35+Lit_rev_final[[#This Row],[Outlet_Quality_1_5]]*0.2+(0.1*Lit_rev_final[[#This Row],[Bridge_Value_0_3]]/3*5)</f>
        <v>2.6666666666666661</v>
      </c>
      <c r="Y254" s="10" t="s">
        <v>626</v>
      </c>
      <c r="Z254" s="5" t="s">
        <v>156</v>
      </c>
      <c r="AA254" s="5" t="s">
        <v>46</v>
      </c>
      <c r="AB254" s="5" t="s">
        <v>46</v>
      </c>
      <c r="AC254" s="16" t="s">
        <v>1611</v>
      </c>
      <c r="AJ254" s="2"/>
    </row>
    <row r="255" spans="1:36" ht="30" customHeight="1" x14ac:dyDescent="0.15">
      <c r="A255" s="5" t="s">
        <v>156</v>
      </c>
      <c r="B255" s="8" t="s">
        <v>1612</v>
      </c>
      <c r="C255" s="8" t="s">
        <v>1613</v>
      </c>
      <c r="D255" s="8" t="s">
        <v>1614</v>
      </c>
      <c r="E255" s="8" t="s">
        <v>1615</v>
      </c>
      <c r="F255" s="5">
        <v>2021</v>
      </c>
      <c r="G255" s="5">
        <v>238</v>
      </c>
      <c r="H255" s="5">
        <v>245</v>
      </c>
      <c r="I255" s="8" t="s">
        <v>1616</v>
      </c>
      <c r="J255" s="13" t="s">
        <v>1617</v>
      </c>
      <c r="K255" s="8" t="s">
        <v>232</v>
      </c>
      <c r="L255" s="5" t="s">
        <v>1219</v>
      </c>
      <c r="M255" s="8" t="s">
        <v>392</v>
      </c>
      <c r="N255" s="8" t="s">
        <v>256</v>
      </c>
      <c r="O255" s="8" t="s">
        <v>223</v>
      </c>
      <c r="P255" s="5">
        <v>3</v>
      </c>
      <c r="Q255" s="5"/>
      <c r="R255" s="5"/>
      <c r="S255" s="5"/>
      <c r="T255" s="5">
        <v>3</v>
      </c>
      <c r="U255" s="5">
        <v>3</v>
      </c>
      <c r="V255" s="5">
        <v>2</v>
      </c>
      <c r="W255" s="5">
        <v>1</v>
      </c>
      <c r="X255" s="16">
        <f>Lit_rev_final[[#This Row],[Foundationality_1_5]]*0.35+Lit_rev_final[[#This Row],[Topic_Fit_1_5]]*0.35+Lit_rev_final[[#This Row],[Outlet_Quality_1_5]]*0.2+(0.1*Lit_rev_final[[#This Row],[Bridge_Value_0_3]]/3*5)</f>
        <v>2.6666666666666661</v>
      </c>
      <c r="Y255" s="10" t="s">
        <v>1465</v>
      </c>
      <c r="Z255" s="5" t="s">
        <v>156</v>
      </c>
      <c r="AA255" s="5" t="s">
        <v>46</v>
      </c>
      <c r="AB255" s="5" t="s">
        <v>46</v>
      </c>
      <c r="AC255" s="16" t="s">
        <v>1618</v>
      </c>
      <c r="AJ255" s="2"/>
    </row>
    <row r="256" spans="1:36" ht="30" customHeight="1" x14ac:dyDescent="0.15">
      <c r="A256" s="5" t="s">
        <v>156</v>
      </c>
      <c r="B256" s="8" t="s">
        <v>1619</v>
      </c>
      <c r="C256" s="8" t="s">
        <v>1620</v>
      </c>
      <c r="D256" s="8" t="s">
        <v>1621</v>
      </c>
      <c r="E256" s="8" t="s">
        <v>1622</v>
      </c>
      <c r="F256" s="5">
        <v>2018</v>
      </c>
      <c r="G256" s="5"/>
      <c r="H256" s="5"/>
      <c r="I256" s="8"/>
      <c r="J256" s="13" t="s">
        <v>1623</v>
      </c>
      <c r="K256" s="8" t="s">
        <v>303</v>
      </c>
      <c r="L256" s="5" t="s">
        <v>233</v>
      </c>
      <c r="M256" s="8" t="s">
        <v>234</v>
      </c>
      <c r="N256" s="8" t="s">
        <v>256</v>
      </c>
      <c r="O256" s="8" t="s">
        <v>223</v>
      </c>
      <c r="P256" s="5">
        <v>3</v>
      </c>
      <c r="Q256" s="5"/>
      <c r="R256" s="5"/>
      <c r="S256" s="5"/>
      <c r="T256" s="5">
        <v>3</v>
      </c>
      <c r="U256" s="5">
        <v>3</v>
      </c>
      <c r="V256" s="5">
        <v>2</v>
      </c>
      <c r="W256" s="5">
        <v>1</v>
      </c>
      <c r="X256" s="16">
        <f>Lit_rev_final[[#This Row],[Foundationality_1_5]]*0.35+Lit_rev_final[[#This Row],[Topic_Fit_1_5]]*0.35+Lit_rev_final[[#This Row],[Outlet_Quality_1_5]]*0.2+(0.1*Lit_rev_final[[#This Row],[Bridge_Value_0_3]]/3*5)</f>
        <v>2.6666666666666661</v>
      </c>
      <c r="Y256" s="10" t="s">
        <v>626</v>
      </c>
      <c r="Z256" s="5" t="s">
        <v>156</v>
      </c>
      <c r="AA256" s="5" t="s">
        <v>46</v>
      </c>
      <c r="AB256" s="5" t="s">
        <v>46</v>
      </c>
      <c r="AC256" s="16" t="s">
        <v>1624</v>
      </c>
      <c r="AJ256" s="2"/>
    </row>
    <row r="257" spans="1:36" ht="30" customHeight="1" x14ac:dyDescent="0.15">
      <c r="A257" s="5" t="s">
        <v>156</v>
      </c>
      <c r="B257" s="8" t="s">
        <v>1625</v>
      </c>
      <c r="C257" s="8" t="s">
        <v>1626</v>
      </c>
      <c r="D257" s="8" t="s">
        <v>1489</v>
      </c>
      <c r="E257" s="8" t="s">
        <v>411</v>
      </c>
      <c r="F257" s="5">
        <v>2026</v>
      </c>
      <c r="G257" s="5"/>
      <c r="H257" s="5"/>
      <c r="I257" s="8" t="s">
        <v>1627</v>
      </c>
      <c r="J257" s="13" t="s">
        <v>1628</v>
      </c>
      <c r="K257" s="8" t="s">
        <v>303</v>
      </c>
      <c r="L257" s="5" t="s">
        <v>233</v>
      </c>
      <c r="M257" s="8" t="s">
        <v>367</v>
      </c>
      <c r="N257" s="8" t="s">
        <v>256</v>
      </c>
      <c r="O257" s="8" t="s">
        <v>223</v>
      </c>
      <c r="P257" s="5">
        <v>3</v>
      </c>
      <c r="Q257" s="5"/>
      <c r="R257" s="5"/>
      <c r="S257" s="5"/>
      <c r="T257" s="5">
        <v>3</v>
      </c>
      <c r="U257" s="5">
        <v>3</v>
      </c>
      <c r="V257" s="5">
        <v>2</v>
      </c>
      <c r="W257" s="5">
        <v>1</v>
      </c>
      <c r="X257" s="16">
        <f>Lit_rev_final[[#This Row],[Foundationality_1_5]]*0.35+Lit_rev_final[[#This Row],[Topic_Fit_1_5]]*0.35+Lit_rev_final[[#This Row],[Outlet_Quality_1_5]]*0.2+(0.1*Lit_rev_final[[#This Row],[Bridge_Value_0_3]]/3*5)</f>
        <v>2.6666666666666661</v>
      </c>
      <c r="Y257" s="10" t="s">
        <v>626</v>
      </c>
      <c r="Z257" s="5" t="s">
        <v>156</v>
      </c>
      <c r="AA257" s="5" t="s">
        <v>46</v>
      </c>
      <c r="AB257" s="5" t="s">
        <v>46</v>
      </c>
      <c r="AC257" s="16" t="s">
        <v>1629</v>
      </c>
      <c r="AJ257" s="2"/>
    </row>
    <row r="258" spans="1:36" ht="30" customHeight="1" x14ac:dyDescent="0.15">
      <c r="A258" s="5" t="s">
        <v>156</v>
      </c>
      <c r="B258" s="8" t="s">
        <v>1630</v>
      </c>
      <c r="C258" s="8" t="s">
        <v>1631</v>
      </c>
      <c r="D258" s="8" t="s">
        <v>1263</v>
      </c>
      <c r="E258" s="8" t="s">
        <v>152</v>
      </c>
      <c r="F258" s="5">
        <v>2024</v>
      </c>
      <c r="G258" s="5"/>
      <c r="H258" s="5"/>
      <c r="I258" s="8" t="s">
        <v>1632</v>
      </c>
      <c r="J258" s="13" t="s">
        <v>1633</v>
      </c>
      <c r="K258" s="8" t="s">
        <v>232</v>
      </c>
      <c r="L258" s="5" t="s">
        <v>233</v>
      </c>
      <c r="M258" s="8" t="s">
        <v>234</v>
      </c>
      <c r="N258" s="8" t="s">
        <v>256</v>
      </c>
      <c r="O258" s="8" t="s">
        <v>223</v>
      </c>
      <c r="P258" s="5">
        <v>3</v>
      </c>
      <c r="Q258" s="5"/>
      <c r="R258" s="5"/>
      <c r="S258" s="5"/>
      <c r="T258" s="5">
        <v>3</v>
      </c>
      <c r="U258" s="5">
        <v>3</v>
      </c>
      <c r="V258" s="5">
        <v>2</v>
      </c>
      <c r="W258" s="5">
        <v>1</v>
      </c>
      <c r="X258" s="16">
        <f>Lit_rev_final[[#This Row],[Foundationality_1_5]]*0.35+Lit_rev_final[[#This Row],[Topic_Fit_1_5]]*0.35+Lit_rev_final[[#This Row],[Outlet_Quality_1_5]]*0.2+(0.1*Lit_rev_final[[#This Row],[Bridge_Value_0_3]]/3*5)</f>
        <v>2.6666666666666661</v>
      </c>
      <c r="Y258" s="10" t="s">
        <v>566</v>
      </c>
      <c r="Z258" s="5" t="s">
        <v>156</v>
      </c>
      <c r="AA258" s="5" t="s">
        <v>46</v>
      </c>
      <c r="AB258" s="5" t="s">
        <v>46</v>
      </c>
      <c r="AC258" s="16" t="s">
        <v>1634</v>
      </c>
      <c r="AJ258" s="2"/>
    </row>
    <row r="259" spans="1:36" ht="30" customHeight="1" x14ac:dyDescent="0.15">
      <c r="A259" s="5" t="s">
        <v>156</v>
      </c>
      <c r="B259" s="8" t="s">
        <v>1635</v>
      </c>
      <c r="C259" s="8" t="s">
        <v>1636</v>
      </c>
      <c r="D259" s="8" t="s">
        <v>1637</v>
      </c>
      <c r="E259" s="8" t="s">
        <v>687</v>
      </c>
      <c r="F259" s="5">
        <v>2024</v>
      </c>
      <c r="G259" s="5">
        <v>211</v>
      </c>
      <c r="H259" s="5">
        <v>228</v>
      </c>
      <c r="I259" s="8" t="s">
        <v>1638</v>
      </c>
      <c r="J259" s="13" t="s">
        <v>1639</v>
      </c>
      <c r="K259" s="8" t="s">
        <v>232</v>
      </c>
      <c r="L259" s="5" t="s">
        <v>233</v>
      </c>
      <c r="M259" s="8" t="s">
        <v>234</v>
      </c>
      <c r="N259" s="8" t="s">
        <v>256</v>
      </c>
      <c r="O259" s="8" t="s">
        <v>223</v>
      </c>
      <c r="P259" s="5">
        <v>3</v>
      </c>
      <c r="Q259" s="5"/>
      <c r="R259" s="5" t="s">
        <v>113</v>
      </c>
      <c r="S259" s="5"/>
      <c r="T259" s="5">
        <v>3</v>
      </c>
      <c r="U259" s="5">
        <v>3</v>
      </c>
      <c r="V259" s="5">
        <v>2</v>
      </c>
      <c r="W259" s="5">
        <v>1</v>
      </c>
      <c r="X259" s="16">
        <f>Lit_rev_final[[#This Row],[Foundationality_1_5]]*0.35+Lit_rev_final[[#This Row],[Topic_Fit_1_5]]*0.35+Lit_rev_final[[#This Row],[Outlet_Quality_1_5]]*0.2+(0.1*Lit_rev_final[[#This Row],[Bridge_Value_0_3]]/3*5)</f>
        <v>2.6666666666666661</v>
      </c>
      <c r="Y259" s="10" t="s">
        <v>566</v>
      </c>
      <c r="Z259" s="5" t="s">
        <v>156</v>
      </c>
      <c r="AA259" s="5" t="s">
        <v>46</v>
      </c>
      <c r="AB259" s="5" t="s">
        <v>46</v>
      </c>
      <c r="AC259" s="16" t="s">
        <v>200</v>
      </c>
      <c r="AJ259" s="2"/>
    </row>
    <row r="260" spans="1:36" ht="30" customHeight="1" x14ac:dyDescent="0.15">
      <c r="A260" s="5" t="s">
        <v>156</v>
      </c>
      <c r="B260" s="8" t="s">
        <v>1640</v>
      </c>
      <c r="C260" s="8" t="s">
        <v>1641</v>
      </c>
      <c r="D260" s="8" t="s">
        <v>1642</v>
      </c>
      <c r="E260" s="8" t="s">
        <v>1643</v>
      </c>
      <c r="F260" s="5">
        <v>2024</v>
      </c>
      <c r="G260" s="5"/>
      <c r="H260" s="5"/>
      <c r="I260" s="8" t="s">
        <v>1644</v>
      </c>
      <c r="J260" s="13" t="s">
        <v>1645</v>
      </c>
      <c r="K260" s="8" t="s">
        <v>303</v>
      </c>
      <c r="L260" s="5" t="s">
        <v>233</v>
      </c>
      <c r="M260" s="8" t="s">
        <v>234</v>
      </c>
      <c r="N260" s="8" t="s">
        <v>256</v>
      </c>
      <c r="O260" s="8" t="s">
        <v>120</v>
      </c>
      <c r="P260" s="5">
        <v>3</v>
      </c>
      <c r="Q260" s="5"/>
      <c r="R260" s="5"/>
      <c r="S260" s="5"/>
      <c r="T260" s="5">
        <v>3</v>
      </c>
      <c r="U260" s="5">
        <v>3</v>
      </c>
      <c r="V260" s="5">
        <v>2</v>
      </c>
      <c r="W260" s="5">
        <v>1</v>
      </c>
      <c r="X260" s="16">
        <f>Lit_rev_final[[#This Row],[Foundationality_1_5]]*0.35+Lit_rev_final[[#This Row],[Topic_Fit_1_5]]*0.35+Lit_rev_final[[#This Row],[Outlet_Quality_1_5]]*0.2+(0.1*Lit_rev_final[[#This Row],[Bridge_Value_0_3]]/3*5)</f>
        <v>2.6666666666666661</v>
      </c>
      <c r="Y260" s="10" t="s">
        <v>304</v>
      </c>
      <c r="Z260" s="5" t="s">
        <v>156</v>
      </c>
      <c r="AA260" s="5" t="s">
        <v>46</v>
      </c>
      <c r="AB260" s="5" t="s">
        <v>46</v>
      </c>
      <c r="AC260" s="16" t="s">
        <v>1646</v>
      </c>
      <c r="AJ260" s="2"/>
    </row>
    <row r="261" spans="1:36" ht="30" customHeight="1" x14ac:dyDescent="0.15">
      <c r="A261" s="5" t="s">
        <v>156</v>
      </c>
      <c r="B261" s="8" t="s">
        <v>1647</v>
      </c>
      <c r="C261" s="8" t="s">
        <v>1648</v>
      </c>
      <c r="D261" s="8" t="s">
        <v>1649</v>
      </c>
      <c r="E261" s="8" t="s">
        <v>374</v>
      </c>
      <c r="F261" s="5">
        <v>2017</v>
      </c>
      <c r="G261" s="5"/>
      <c r="H261" s="5"/>
      <c r="I261" s="8" t="s">
        <v>1650</v>
      </c>
      <c r="J261" s="13" t="s">
        <v>1651</v>
      </c>
      <c r="K261" s="8" t="s">
        <v>377</v>
      </c>
      <c r="L261" s="5" t="s">
        <v>233</v>
      </c>
      <c r="M261" s="8" t="s">
        <v>46</v>
      </c>
      <c r="N261" s="8" t="s">
        <v>256</v>
      </c>
      <c r="O261" s="8" t="s">
        <v>120</v>
      </c>
      <c r="P261" s="5">
        <v>3</v>
      </c>
      <c r="Q261" s="5"/>
      <c r="R261" s="5"/>
      <c r="S261" s="5"/>
      <c r="T261" s="5">
        <v>3</v>
      </c>
      <c r="U261" s="5">
        <v>3</v>
      </c>
      <c r="V261" s="5">
        <v>2</v>
      </c>
      <c r="W261" s="5">
        <v>1</v>
      </c>
      <c r="X261" s="16">
        <f>Lit_rev_final[[#This Row],[Foundationality_1_5]]*0.35+Lit_rev_final[[#This Row],[Topic_Fit_1_5]]*0.35+Lit_rev_final[[#This Row],[Outlet_Quality_1_5]]*0.2+(0.1*Lit_rev_final[[#This Row],[Bridge_Value_0_3]]/3*5)</f>
        <v>2.6666666666666661</v>
      </c>
      <c r="Y261" s="10" t="s">
        <v>851</v>
      </c>
      <c r="Z261" s="5" t="s">
        <v>156</v>
      </c>
      <c r="AA261" s="5" t="s">
        <v>46</v>
      </c>
      <c r="AB261" s="5" t="s">
        <v>46</v>
      </c>
      <c r="AC261" s="16" t="s">
        <v>1652</v>
      </c>
      <c r="AJ261" s="2"/>
    </row>
    <row r="262" spans="1:36" ht="30" customHeight="1" x14ac:dyDescent="0.15">
      <c r="A262" s="5" t="s">
        <v>156</v>
      </c>
      <c r="B262" s="8" t="s">
        <v>1653</v>
      </c>
      <c r="C262" s="8" t="s">
        <v>1654</v>
      </c>
      <c r="D262" s="8" t="s">
        <v>1655</v>
      </c>
      <c r="E262" s="8" t="s">
        <v>229</v>
      </c>
      <c r="F262" s="5">
        <v>2021</v>
      </c>
      <c r="G262" s="5"/>
      <c r="H262" s="5"/>
      <c r="I262" s="8" t="s">
        <v>1656</v>
      </c>
      <c r="J262" s="13" t="s">
        <v>1657</v>
      </c>
      <c r="K262" s="8" t="s">
        <v>232</v>
      </c>
      <c r="L262" s="5" t="s">
        <v>233</v>
      </c>
      <c r="M262" s="8" t="s">
        <v>234</v>
      </c>
      <c r="N262" s="8" t="s">
        <v>256</v>
      </c>
      <c r="O262" s="8" t="s">
        <v>223</v>
      </c>
      <c r="P262" s="5">
        <v>3</v>
      </c>
      <c r="Q262" s="5"/>
      <c r="R262" s="5"/>
      <c r="S262" s="5"/>
      <c r="T262" s="5">
        <v>3</v>
      </c>
      <c r="U262" s="5">
        <v>3</v>
      </c>
      <c r="V262" s="5">
        <v>2</v>
      </c>
      <c r="W262" s="5">
        <v>1</v>
      </c>
      <c r="X262" s="16">
        <f>Lit_rev_final[[#This Row],[Foundationality_1_5]]*0.35+Lit_rev_final[[#This Row],[Topic_Fit_1_5]]*0.35+Lit_rev_final[[#This Row],[Outlet_Quality_1_5]]*0.2+(0.1*Lit_rev_final[[#This Row],[Bridge_Value_0_3]]/3*5)</f>
        <v>2.6666666666666661</v>
      </c>
      <c r="Y262" s="10" t="s">
        <v>702</v>
      </c>
      <c r="Z262" s="5" t="s">
        <v>156</v>
      </c>
      <c r="AA262" s="5" t="s">
        <v>46</v>
      </c>
      <c r="AB262" s="5" t="s">
        <v>46</v>
      </c>
      <c r="AC262" s="16" t="s">
        <v>1658</v>
      </c>
      <c r="AJ262" s="2"/>
    </row>
    <row r="263" spans="1:36" ht="30" customHeight="1" x14ac:dyDescent="0.15">
      <c r="A263" s="5" t="s">
        <v>156</v>
      </c>
      <c r="B263" s="8" t="s">
        <v>1659</v>
      </c>
      <c r="C263" s="8" t="s">
        <v>1660</v>
      </c>
      <c r="D263" s="8" t="s">
        <v>403</v>
      </c>
      <c r="E263" s="8" t="s">
        <v>404</v>
      </c>
      <c r="F263" s="5">
        <v>2025</v>
      </c>
      <c r="G263" s="5"/>
      <c r="H263" s="5"/>
      <c r="I263" s="8" t="s">
        <v>1661</v>
      </c>
      <c r="J263" s="13" t="s">
        <v>1662</v>
      </c>
      <c r="K263" s="8" t="s">
        <v>303</v>
      </c>
      <c r="L263" s="5" t="s">
        <v>233</v>
      </c>
      <c r="M263" s="8" t="s">
        <v>367</v>
      </c>
      <c r="N263" s="8" t="s">
        <v>256</v>
      </c>
      <c r="O263" s="8" t="s">
        <v>120</v>
      </c>
      <c r="P263" s="5">
        <v>3</v>
      </c>
      <c r="Q263" s="5"/>
      <c r="R263" s="5"/>
      <c r="S263" s="5"/>
      <c r="T263" s="5">
        <v>3</v>
      </c>
      <c r="U263" s="5">
        <v>3</v>
      </c>
      <c r="V263" s="5">
        <v>2</v>
      </c>
      <c r="W263" s="5">
        <v>1</v>
      </c>
      <c r="X263" s="16">
        <f>Lit_rev_final[[#This Row],[Foundationality_1_5]]*0.35+Lit_rev_final[[#This Row],[Topic_Fit_1_5]]*0.35+Lit_rev_final[[#This Row],[Outlet_Quality_1_5]]*0.2+(0.1*Lit_rev_final[[#This Row],[Bridge_Value_0_3]]/3*5)</f>
        <v>2.6666666666666661</v>
      </c>
      <c r="Y263" s="10" t="s">
        <v>304</v>
      </c>
      <c r="Z263" s="5" t="s">
        <v>156</v>
      </c>
      <c r="AA263" s="5" t="s">
        <v>46</v>
      </c>
      <c r="AB263" s="5" t="s">
        <v>46</v>
      </c>
      <c r="AC263" s="16" t="s">
        <v>1663</v>
      </c>
      <c r="AJ263" s="2"/>
    </row>
    <row r="264" spans="1:36" ht="30" customHeight="1" x14ac:dyDescent="0.15">
      <c r="A264" s="5" t="s">
        <v>156</v>
      </c>
      <c r="B264" s="8" t="s">
        <v>1664</v>
      </c>
      <c r="C264" s="8" t="s">
        <v>1665</v>
      </c>
      <c r="D264" s="8" t="s">
        <v>1666</v>
      </c>
      <c r="E264" s="8" t="s">
        <v>1667</v>
      </c>
      <c r="F264" s="5">
        <v>2018</v>
      </c>
      <c r="G264" s="5"/>
      <c r="H264" s="5"/>
      <c r="I264" s="8" t="s">
        <v>1668</v>
      </c>
      <c r="J264" s="13" t="s">
        <v>1669</v>
      </c>
      <c r="K264" s="8" t="s">
        <v>303</v>
      </c>
      <c r="L264" s="5" t="s">
        <v>233</v>
      </c>
      <c r="M264" s="8" t="s">
        <v>234</v>
      </c>
      <c r="N264" s="8" t="s">
        <v>256</v>
      </c>
      <c r="O264" s="8" t="s">
        <v>223</v>
      </c>
      <c r="P264" s="5">
        <v>3</v>
      </c>
      <c r="Q264" s="5"/>
      <c r="R264" s="5"/>
      <c r="S264" s="5"/>
      <c r="T264" s="5">
        <v>3</v>
      </c>
      <c r="U264" s="5">
        <v>3</v>
      </c>
      <c r="V264" s="5">
        <v>2</v>
      </c>
      <c r="W264" s="5">
        <v>1</v>
      </c>
      <c r="X264" s="16">
        <f>Lit_rev_final[[#This Row],[Foundationality_1_5]]*0.35+Lit_rev_final[[#This Row],[Topic_Fit_1_5]]*0.35+Lit_rev_final[[#This Row],[Outlet_Quality_1_5]]*0.2+(0.1*Lit_rev_final[[#This Row],[Bridge_Value_0_3]]/3*5)</f>
        <v>2.6666666666666661</v>
      </c>
      <c r="Y264" s="10" t="s">
        <v>626</v>
      </c>
      <c r="Z264" s="5" t="s">
        <v>156</v>
      </c>
      <c r="AA264" s="5" t="s">
        <v>46</v>
      </c>
      <c r="AB264" s="5" t="s">
        <v>46</v>
      </c>
      <c r="AC264" s="16" t="s">
        <v>1670</v>
      </c>
      <c r="AJ264" s="2"/>
    </row>
    <row r="265" spans="1:36" ht="30" customHeight="1" x14ac:dyDescent="0.15">
      <c r="A265" s="5" t="s">
        <v>156</v>
      </c>
      <c r="B265" s="8" t="s">
        <v>1671</v>
      </c>
      <c r="C265" s="8" t="s">
        <v>1672</v>
      </c>
      <c r="D265" s="8" t="s">
        <v>1673</v>
      </c>
      <c r="E265" s="8" t="s">
        <v>1674</v>
      </c>
      <c r="F265" s="5">
        <v>2023</v>
      </c>
      <c r="G265" s="5"/>
      <c r="H265" s="5"/>
      <c r="I265" s="8" t="s">
        <v>1675</v>
      </c>
      <c r="J265" s="13" t="s">
        <v>1676</v>
      </c>
      <c r="K265" s="8" t="s">
        <v>232</v>
      </c>
      <c r="L265" s="5" t="s">
        <v>233</v>
      </c>
      <c r="M265" s="8" t="s">
        <v>234</v>
      </c>
      <c r="N265" s="8" t="s">
        <v>256</v>
      </c>
      <c r="O265" s="8" t="s">
        <v>223</v>
      </c>
      <c r="P265" s="5">
        <v>3</v>
      </c>
      <c r="Q265" s="5"/>
      <c r="R265" s="5"/>
      <c r="S265" s="5"/>
      <c r="T265" s="5">
        <v>3</v>
      </c>
      <c r="U265" s="5">
        <v>3</v>
      </c>
      <c r="V265" s="5">
        <v>2</v>
      </c>
      <c r="W265" s="5">
        <v>1</v>
      </c>
      <c r="X265" s="16">
        <f>Lit_rev_final[[#This Row],[Foundationality_1_5]]*0.35+Lit_rev_final[[#This Row],[Topic_Fit_1_5]]*0.35+Lit_rev_final[[#This Row],[Outlet_Quality_1_5]]*0.2+(0.1*Lit_rev_final[[#This Row],[Bridge_Value_0_3]]/3*5)</f>
        <v>2.6666666666666661</v>
      </c>
      <c r="Y265" s="10" t="s">
        <v>566</v>
      </c>
      <c r="Z265" s="5" t="s">
        <v>156</v>
      </c>
      <c r="AA265" s="5" t="s">
        <v>46</v>
      </c>
      <c r="AB265" s="5" t="s">
        <v>46</v>
      </c>
      <c r="AC265" s="16" t="s">
        <v>1677</v>
      </c>
      <c r="AJ265" s="2"/>
    </row>
    <row r="266" spans="1:36" ht="30" customHeight="1" x14ac:dyDescent="0.15">
      <c r="A266" s="5" t="s">
        <v>156</v>
      </c>
      <c r="B266" s="8" t="s">
        <v>1678</v>
      </c>
      <c r="C266" s="8" t="s">
        <v>1679</v>
      </c>
      <c r="D266" s="8" t="s">
        <v>693</v>
      </c>
      <c r="E266" s="8" t="s">
        <v>1680</v>
      </c>
      <c r="F266" s="5">
        <v>2021</v>
      </c>
      <c r="G266" s="5"/>
      <c r="H266" s="5"/>
      <c r="I266" s="8"/>
      <c r="J266" s="13" t="s">
        <v>1681</v>
      </c>
      <c r="K266" s="8" t="s">
        <v>303</v>
      </c>
      <c r="L266" s="5" t="s">
        <v>233</v>
      </c>
      <c r="M266" s="8" t="s">
        <v>367</v>
      </c>
      <c r="N266" s="8" t="s">
        <v>256</v>
      </c>
      <c r="O266" s="8" t="s">
        <v>223</v>
      </c>
      <c r="P266" s="5">
        <v>3</v>
      </c>
      <c r="Q266" s="5"/>
      <c r="R266" s="5"/>
      <c r="S266" s="5"/>
      <c r="T266" s="5">
        <v>3</v>
      </c>
      <c r="U266" s="5">
        <v>3</v>
      </c>
      <c r="V266" s="5">
        <v>2</v>
      </c>
      <c r="W266" s="5">
        <v>1</v>
      </c>
      <c r="X266" s="16">
        <f>Lit_rev_final[[#This Row],[Foundationality_1_5]]*0.35+Lit_rev_final[[#This Row],[Topic_Fit_1_5]]*0.35+Lit_rev_final[[#This Row],[Outlet_Quality_1_5]]*0.2+(0.1*Lit_rev_final[[#This Row],[Bridge_Value_0_3]]/3*5)</f>
        <v>2.6666666666666661</v>
      </c>
      <c r="Y266" s="10" t="s">
        <v>566</v>
      </c>
      <c r="Z266" s="5" t="s">
        <v>156</v>
      </c>
      <c r="AA266" s="5" t="s">
        <v>46</v>
      </c>
      <c r="AB266" s="5" t="s">
        <v>46</v>
      </c>
      <c r="AC266" s="16" t="s">
        <v>1682</v>
      </c>
      <c r="AJ266" s="2"/>
    </row>
    <row r="267" spans="1:36" ht="30" customHeight="1" x14ac:dyDescent="0.15">
      <c r="A267" s="5" t="s">
        <v>156</v>
      </c>
      <c r="B267" s="8" t="s">
        <v>1683</v>
      </c>
      <c r="C267" s="8" t="s">
        <v>1684</v>
      </c>
      <c r="D267" s="8" t="s">
        <v>1685</v>
      </c>
      <c r="E267" s="8" t="s">
        <v>1686</v>
      </c>
      <c r="F267" s="5">
        <v>2020</v>
      </c>
      <c r="G267" s="5"/>
      <c r="H267" s="5"/>
      <c r="I267" s="8" t="s">
        <v>1687</v>
      </c>
      <c r="J267" s="13" t="s">
        <v>1688</v>
      </c>
      <c r="K267" s="8" t="s">
        <v>303</v>
      </c>
      <c r="L267" s="5" t="s">
        <v>233</v>
      </c>
      <c r="M267" s="8" t="s">
        <v>234</v>
      </c>
      <c r="N267" s="8" t="s">
        <v>256</v>
      </c>
      <c r="O267" s="8" t="s">
        <v>223</v>
      </c>
      <c r="P267" s="5">
        <v>3</v>
      </c>
      <c r="Q267" s="5"/>
      <c r="R267" s="5"/>
      <c r="S267" s="5"/>
      <c r="T267" s="5">
        <v>3</v>
      </c>
      <c r="U267" s="5">
        <v>3</v>
      </c>
      <c r="V267" s="5">
        <v>2</v>
      </c>
      <c r="W267" s="5">
        <v>1</v>
      </c>
      <c r="X267" s="16">
        <f>Lit_rev_final[[#This Row],[Foundationality_1_5]]*0.35+Lit_rev_final[[#This Row],[Topic_Fit_1_5]]*0.35+Lit_rev_final[[#This Row],[Outlet_Quality_1_5]]*0.2+(0.1*Lit_rev_final[[#This Row],[Bridge_Value_0_3]]/3*5)</f>
        <v>2.6666666666666661</v>
      </c>
      <c r="Y267" s="10" t="s">
        <v>1338</v>
      </c>
      <c r="Z267" s="5" t="s">
        <v>156</v>
      </c>
      <c r="AA267" s="5" t="s">
        <v>46</v>
      </c>
      <c r="AB267" s="5" t="s">
        <v>46</v>
      </c>
      <c r="AC267" s="16" t="s">
        <v>1689</v>
      </c>
      <c r="AJ267" s="2"/>
    </row>
    <row r="268" spans="1:36" ht="30" customHeight="1" x14ac:dyDescent="0.15">
      <c r="A268" s="5" t="s">
        <v>156</v>
      </c>
      <c r="B268" s="8" t="s">
        <v>1690</v>
      </c>
      <c r="C268" s="8" t="s">
        <v>1691</v>
      </c>
      <c r="D268" s="8" t="s">
        <v>1692</v>
      </c>
      <c r="E268" s="8" t="s">
        <v>1693</v>
      </c>
      <c r="F268" s="5">
        <v>2019</v>
      </c>
      <c r="G268" s="5">
        <v>3039</v>
      </c>
      <c r="H268" s="5">
        <v>3044</v>
      </c>
      <c r="I268" s="8"/>
      <c r="J268" s="13"/>
      <c r="K268" s="8" t="s">
        <v>232</v>
      </c>
      <c r="L268" s="5" t="s">
        <v>233</v>
      </c>
      <c r="M268" s="8" t="s">
        <v>392</v>
      </c>
      <c r="N268" s="8" t="s">
        <v>256</v>
      </c>
      <c r="O268" s="8" t="s">
        <v>223</v>
      </c>
      <c r="P268" s="5">
        <v>3</v>
      </c>
      <c r="Q268" s="5"/>
      <c r="R268" s="5"/>
      <c r="S268" s="5"/>
      <c r="T268" s="5">
        <v>3</v>
      </c>
      <c r="U268" s="5">
        <v>3</v>
      </c>
      <c r="V268" s="5">
        <v>2</v>
      </c>
      <c r="W268" s="5">
        <v>1</v>
      </c>
      <c r="X268" s="16">
        <f>Lit_rev_final[[#This Row],[Foundationality_1_5]]*0.35+Lit_rev_final[[#This Row],[Topic_Fit_1_5]]*0.35+Lit_rev_final[[#This Row],[Outlet_Quality_1_5]]*0.2+(0.1*Lit_rev_final[[#This Row],[Bridge_Value_0_3]]/3*5)</f>
        <v>2.6666666666666661</v>
      </c>
      <c r="Y268" s="10" t="s">
        <v>566</v>
      </c>
      <c r="Z268" s="5" t="s">
        <v>156</v>
      </c>
      <c r="AA268" s="5" t="s">
        <v>46</v>
      </c>
      <c r="AB268" s="5" t="s">
        <v>46</v>
      </c>
      <c r="AC268" s="16" t="s">
        <v>1694</v>
      </c>
      <c r="AJ268" s="2"/>
    </row>
    <row r="269" spans="1:36" ht="30" customHeight="1" x14ac:dyDescent="0.15">
      <c r="A269" s="5" t="s">
        <v>156</v>
      </c>
      <c r="B269" s="8" t="s">
        <v>1695</v>
      </c>
      <c r="C269" s="8" t="s">
        <v>1696</v>
      </c>
      <c r="D269" s="8" t="s">
        <v>1697</v>
      </c>
      <c r="E269" s="8" t="s">
        <v>374</v>
      </c>
      <c r="F269" s="5">
        <v>2017</v>
      </c>
      <c r="G269" s="5">
        <v>493</v>
      </c>
      <c r="H269" s="5">
        <v>498</v>
      </c>
      <c r="I269" s="8"/>
      <c r="J269" s="13"/>
      <c r="K269" s="8" t="s">
        <v>232</v>
      </c>
      <c r="L269" s="5" t="s">
        <v>233</v>
      </c>
      <c r="M269" s="8" t="s">
        <v>392</v>
      </c>
      <c r="N269" s="8" t="s">
        <v>256</v>
      </c>
      <c r="O269" s="8" t="s">
        <v>223</v>
      </c>
      <c r="P269" s="5">
        <v>3</v>
      </c>
      <c r="Q269" s="5"/>
      <c r="R269" s="5"/>
      <c r="S269" s="5"/>
      <c r="T269" s="5">
        <v>3</v>
      </c>
      <c r="U269" s="5">
        <v>3</v>
      </c>
      <c r="V269" s="5">
        <v>2</v>
      </c>
      <c r="W269" s="5">
        <v>1</v>
      </c>
      <c r="X269" s="16">
        <f>Lit_rev_final[[#This Row],[Foundationality_1_5]]*0.35+Lit_rev_final[[#This Row],[Topic_Fit_1_5]]*0.35+Lit_rev_final[[#This Row],[Outlet_Quality_1_5]]*0.2+(0.1*Lit_rev_final[[#This Row],[Bridge_Value_0_3]]/3*5)</f>
        <v>2.6666666666666661</v>
      </c>
      <c r="Y269" s="10" t="s">
        <v>566</v>
      </c>
      <c r="Z269" s="5" t="s">
        <v>156</v>
      </c>
      <c r="AA269" s="5" t="s">
        <v>46</v>
      </c>
      <c r="AB269" s="5" t="s">
        <v>46</v>
      </c>
      <c r="AC269" s="16" t="s">
        <v>1698</v>
      </c>
      <c r="AJ269" s="2"/>
    </row>
    <row r="270" spans="1:36" ht="30" customHeight="1" x14ac:dyDescent="0.15">
      <c r="A270" s="5" t="s">
        <v>156</v>
      </c>
      <c r="B270" s="8" t="s">
        <v>1699</v>
      </c>
      <c r="C270" s="8" t="s">
        <v>1700</v>
      </c>
      <c r="D270" s="8" t="s">
        <v>1701</v>
      </c>
      <c r="E270" s="8"/>
      <c r="F270" s="5">
        <v>2026</v>
      </c>
      <c r="G270" s="5"/>
      <c r="H270" s="5"/>
      <c r="I270" s="8" t="s">
        <v>1702</v>
      </c>
      <c r="J270" s="13" t="s">
        <v>1703</v>
      </c>
      <c r="K270" s="8" t="s">
        <v>580</v>
      </c>
      <c r="L270" s="5" t="s">
        <v>233</v>
      </c>
      <c r="M270" s="8" t="s">
        <v>46</v>
      </c>
      <c r="N270" s="8" t="s">
        <v>256</v>
      </c>
      <c r="O270" s="8" t="s">
        <v>120</v>
      </c>
      <c r="P270" s="5">
        <v>3</v>
      </c>
      <c r="Q270" s="5"/>
      <c r="R270" s="5"/>
      <c r="S270" s="5"/>
      <c r="T270" s="5">
        <v>3</v>
      </c>
      <c r="U270" s="5">
        <v>3</v>
      </c>
      <c r="V270" s="5">
        <v>2</v>
      </c>
      <c r="W270" s="5">
        <v>1</v>
      </c>
      <c r="X270" s="16">
        <f>Lit_rev_final[[#This Row],[Foundationality_1_5]]*0.35+Lit_rev_final[[#This Row],[Topic_Fit_1_5]]*0.35+Lit_rev_final[[#This Row],[Outlet_Quality_1_5]]*0.2+(0.1*Lit_rev_final[[#This Row],[Bridge_Value_0_3]]/3*5)</f>
        <v>2.6666666666666661</v>
      </c>
      <c r="Y270" s="10" t="s">
        <v>581</v>
      </c>
      <c r="Z270" s="5" t="s">
        <v>156</v>
      </c>
      <c r="AA270" s="5" t="s">
        <v>46</v>
      </c>
      <c r="AB270" s="5" t="s">
        <v>46</v>
      </c>
      <c r="AC270" s="16" t="s">
        <v>1704</v>
      </c>
      <c r="AJ270" s="2"/>
    </row>
    <row r="271" spans="1:36" ht="30" customHeight="1" x14ac:dyDescent="0.15">
      <c r="A271" s="5" t="s">
        <v>156</v>
      </c>
      <c r="B271" s="8" t="s">
        <v>1705</v>
      </c>
      <c r="C271" s="8" t="s">
        <v>1706</v>
      </c>
      <c r="D271" s="8" t="s">
        <v>1707</v>
      </c>
      <c r="E271" s="8" t="s">
        <v>1708</v>
      </c>
      <c r="F271" s="5">
        <v>2023</v>
      </c>
      <c r="G271" s="5">
        <v>32</v>
      </c>
      <c r="H271" s="5">
        <v>42</v>
      </c>
      <c r="I271" s="8" t="s">
        <v>1709</v>
      </c>
      <c r="J271" s="13" t="s">
        <v>1710</v>
      </c>
      <c r="K271" s="8" t="s">
        <v>232</v>
      </c>
      <c r="L271" s="5" t="s">
        <v>233</v>
      </c>
      <c r="M271" s="8" t="s">
        <v>234</v>
      </c>
      <c r="N271" s="8" t="s">
        <v>256</v>
      </c>
      <c r="O271" s="8" t="s">
        <v>223</v>
      </c>
      <c r="P271" s="5">
        <v>3</v>
      </c>
      <c r="Q271" s="5"/>
      <c r="R271" s="5"/>
      <c r="S271" s="5"/>
      <c r="T271" s="5">
        <v>3</v>
      </c>
      <c r="U271" s="5">
        <v>3</v>
      </c>
      <c r="V271" s="5">
        <v>2</v>
      </c>
      <c r="W271" s="5">
        <v>1</v>
      </c>
      <c r="X271" s="16">
        <f>Lit_rev_final[[#This Row],[Foundationality_1_5]]*0.35+Lit_rev_final[[#This Row],[Topic_Fit_1_5]]*0.35+Lit_rev_final[[#This Row],[Outlet_Quality_1_5]]*0.2+(0.1*Lit_rev_final[[#This Row],[Bridge_Value_0_3]]/3*5)</f>
        <v>2.6666666666666661</v>
      </c>
      <c r="Y271" s="10" t="s">
        <v>566</v>
      </c>
      <c r="Z271" s="5" t="s">
        <v>156</v>
      </c>
      <c r="AA271" s="5" t="s">
        <v>46</v>
      </c>
      <c r="AB271" s="5" t="s">
        <v>46</v>
      </c>
      <c r="AC271" s="16" t="s">
        <v>1711</v>
      </c>
      <c r="AJ271" s="2"/>
    </row>
    <row r="272" spans="1:36" ht="30" customHeight="1" x14ac:dyDescent="0.15">
      <c r="A272" s="5" t="s">
        <v>156</v>
      </c>
      <c r="B272" s="8" t="s">
        <v>1712</v>
      </c>
      <c r="C272" s="8" t="s">
        <v>1713</v>
      </c>
      <c r="D272" s="8" t="s">
        <v>436</v>
      </c>
      <c r="E272" s="8" t="s">
        <v>331</v>
      </c>
      <c r="F272" s="5">
        <v>2025</v>
      </c>
      <c r="G272" s="5">
        <v>2468</v>
      </c>
      <c r="H272" s="5">
        <v>2473</v>
      </c>
      <c r="I272" s="8" t="s">
        <v>1714</v>
      </c>
      <c r="J272" s="13" t="s">
        <v>1715</v>
      </c>
      <c r="K272" s="8" t="s">
        <v>232</v>
      </c>
      <c r="L272" s="5" t="s">
        <v>233</v>
      </c>
      <c r="M272" s="8" t="s">
        <v>392</v>
      </c>
      <c r="N272" s="8" t="s">
        <v>256</v>
      </c>
      <c r="O272" s="8" t="s">
        <v>120</v>
      </c>
      <c r="P272" s="5">
        <v>3</v>
      </c>
      <c r="Q272" s="5"/>
      <c r="R272" s="5"/>
      <c r="S272" s="5"/>
      <c r="T272" s="5">
        <v>3</v>
      </c>
      <c r="U272" s="5">
        <v>3</v>
      </c>
      <c r="V272" s="5">
        <v>2</v>
      </c>
      <c r="W272" s="5">
        <v>1</v>
      </c>
      <c r="X272" s="16">
        <f>Lit_rev_final[[#This Row],[Foundationality_1_5]]*0.35+Lit_rev_final[[#This Row],[Topic_Fit_1_5]]*0.35+Lit_rev_final[[#This Row],[Outlet_Quality_1_5]]*0.2+(0.1*Lit_rev_final[[#This Row],[Bridge_Value_0_3]]/3*5)</f>
        <v>2.6666666666666661</v>
      </c>
      <c r="Y272" s="10" t="s">
        <v>581</v>
      </c>
      <c r="Z272" s="5" t="s">
        <v>156</v>
      </c>
      <c r="AA272" s="5" t="s">
        <v>46</v>
      </c>
      <c r="AB272" s="5" t="s">
        <v>46</v>
      </c>
      <c r="AC272" s="16" t="s">
        <v>1716</v>
      </c>
      <c r="AJ272" s="2"/>
    </row>
    <row r="273" spans="1:36" ht="30" customHeight="1" x14ac:dyDescent="0.15">
      <c r="A273" s="5" t="s">
        <v>156</v>
      </c>
      <c r="B273" s="8" t="s">
        <v>1717</v>
      </c>
      <c r="C273" s="8" t="s">
        <v>1718</v>
      </c>
      <c r="D273" s="8" t="s">
        <v>1719</v>
      </c>
      <c r="E273" s="8" t="s">
        <v>1720</v>
      </c>
      <c r="F273" s="5">
        <v>2025</v>
      </c>
      <c r="G273" s="5"/>
      <c r="H273" s="5"/>
      <c r="I273" s="8" t="s">
        <v>1721</v>
      </c>
      <c r="J273" s="13" t="s">
        <v>1722</v>
      </c>
      <c r="K273" s="8" t="s">
        <v>303</v>
      </c>
      <c r="L273" s="5" t="s">
        <v>233</v>
      </c>
      <c r="M273" s="8" t="s">
        <v>234</v>
      </c>
      <c r="N273" s="8" t="s">
        <v>256</v>
      </c>
      <c r="O273" s="8" t="s">
        <v>223</v>
      </c>
      <c r="P273" s="5">
        <v>3</v>
      </c>
      <c r="Q273" s="5"/>
      <c r="R273" s="5"/>
      <c r="S273" s="5"/>
      <c r="T273" s="5">
        <v>3</v>
      </c>
      <c r="U273" s="5">
        <v>3</v>
      </c>
      <c r="V273" s="5">
        <v>2</v>
      </c>
      <c r="W273" s="5">
        <v>1</v>
      </c>
      <c r="X273" s="16">
        <f>Lit_rev_final[[#This Row],[Foundationality_1_5]]*0.35+Lit_rev_final[[#This Row],[Topic_Fit_1_5]]*0.35+Lit_rev_final[[#This Row],[Outlet_Quality_1_5]]*0.2+(0.1*Lit_rev_final[[#This Row],[Bridge_Value_0_3]]/3*5)</f>
        <v>2.6666666666666661</v>
      </c>
      <c r="Y273" s="10" t="s">
        <v>626</v>
      </c>
      <c r="Z273" s="5" t="s">
        <v>156</v>
      </c>
      <c r="AA273" s="5" t="s">
        <v>46</v>
      </c>
      <c r="AB273" s="5" t="s">
        <v>46</v>
      </c>
      <c r="AC273" s="16" t="s">
        <v>1723</v>
      </c>
      <c r="AJ273" s="2"/>
    </row>
    <row r="274" spans="1:36" ht="30" customHeight="1" x14ac:dyDescent="0.15">
      <c r="A274" s="5" t="s">
        <v>156</v>
      </c>
      <c r="B274" s="8" t="s">
        <v>1724</v>
      </c>
      <c r="C274" s="8" t="s">
        <v>1725</v>
      </c>
      <c r="D274" s="8" t="s">
        <v>1726</v>
      </c>
      <c r="E274" s="8" t="s">
        <v>1727</v>
      </c>
      <c r="F274" s="5">
        <v>2025</v>
      </c>
      <c r="G274" s="5"/>
      <c r="H274" s="5"/>
      <c r="I274" s="8" t="s">
        <v>1728</v>
      </c>
      <c r="J274" s="13" t="s">
        <v>1729</v>
      </c>
      <c r="K274" s="8" t="s">
        <v>232</v>
      </c>
      <c r="L274" s="5" t="s">
        <v>233</v>
      </c>
      <c r="M274" s="8" t="s">
        <v>234</v>
      </c>
      <c r="N274" s="8" t="s">
        <v>256</v>
      </c>
      <c r="O274" s="8" t="s">
        <v>120</v>
      </c>
      <c r="P274" s="5">
        <v>3</v>
      </c>
      <c r="Q274" s="5"/>
      <c r="R274" s="5"/>
      <c r="S274" s="5"/>
      <c r="T274" s="5">
        <v>3</v>
      </c>
      <c r="U274" s="5">
        <v>3</v>
      </c>
      <c r="V274" s="5">
        <v>2</v>
      </c>
      <c r="W274" s="5">
        <v>1</v>
      </c>
      <c r="X274" s="16">
        <f>Lit_rev_final[[#This Row],[Foundationality_1_5]]*0.35+Lit_rev_final[[#This Row],[Topic_Fit_1_5]]*0.35+Lit_rev_final[[#This Row],[Outlet_Quality_1_5]]*0.2+(0.1*Lit_rev_final[[#This Row],[Bridge_Value_0_3]]/3*5)</f>
        <v>2.6666666666666661</v>
      </c>
      <c r="Y274" s="10" t="s">
        <v>581</v>
      </c>
      <c r="Z274" s="5" t="s">
        <v>156</v>
      </c>
      <c r="AA274" s="5" t="s">
        <v>46</v>
      </c>
      <c r="AB274" s="5" t="s">
        <v>46</v>
      </c>
      <c r="AC274" s="16" t="s">
        <v>1730</v>
      </c>
      <c r="AJ274" s="2"/>
    </row>
    <row r="275" spans="1:36" ht="30" customHeight="1" x14ac:dyDescent="0.15">
      <c r="A275" s="5" t="s">
        <v>156</v>
      </c>
      <c r="B275" s="8" t="s">
        <v>1731</v>
      </c>
      <c r="C275" s="8" t="s">
        <v>1732</v>
      </c>
      <c r="D275" s="8" t="s">
        <v>1733</v>
      </c>
      <c r="E275" s="8" t="s">
        <v>253</v>
      </c>
      <c r="F275" s="5">
        <v>2025</v>
      </c>
      <c r="G275" s="5">
        <v>1880</v>
      </c>
      <c r="H275" s="5">
        <v>1903</v>
      </c>
      <c r="I275" s="8" t="s">
        <v>1734</v>
      </c>
      <c r="J275" s="13" t="s">
        <v>1735</v>
      </c>
      <c r="K275" s="8" t="s">
        <v>232</v>
      </c>
      <c r="L275" s="5" t="s">
        <v>233</v>
      </c>
      <c r="M275" s="8" t="s">
        <v>234</v>
      </c>
      <c r="N275" s="8" t="s">
        <v>256</v>
      </c>
      <c r="O275" s="8" t="s">
        <v>223</v>
      </c>
      <c r="P275" s="5">
        <v>3</v>
      </c>
      <c r="Q275" s="5"/>
      <c r="R275" s="5"/>
      <c r="S275" s="5"/>
      <c r="T275" s="5">
        <v>3</v>
      </c>
      <c r="U275" s="5">
        <v>3</v>
      </c>
      <c r="V275" s="5">
        <v>2</v>
      </c>
      <c r="W275" s="5">
        <v>1</v>
      </c>
      <c r="X275" s="16">
        <f>Lit_rev_final[[#This Row],[Foundationality_1_5]]*0.35+Lit_rev_final[[#This Row],[Topic_Fit_1_5]]*0.35+Lit_rev_final[[#This Row],[Outlet_Quality_1_5]]*0.2+(0.1*Lit_rev_final[[#This Row],[Bridge_Value_0_3]]/3*5)</f>
        <v>2.6666666666666661</v>
      </c>
      <c r="Y275" s="10" t="s">
        <v>566</v>
      </c>
      <c r="Z275" s="5" t="s">
        <v>156</v>
      </c>
      <c r="AA275" s="5" t="s">
        <v>46</v>
      </c>
      <c r="AB275" s="5" t="s">
        <v>46</v>
      </c>
      <c r="AC275" s="16" t="s">
        <v>1736</v>
      </c>
      <c r="AJ275" s="2"/>
    </row>
    <row r="276" spans="1:36" ht="30" customHeight="1" x14ac:dyDescent="0.15">
      <c r="A276" s="5" t="s">
        <v>156</v>
      </c>
      <c r="B276" s="8" t="s">
        <v>1737</v>
      </c>
      <c r="C276" s="8" t="s">
        <v>1738</v>
      </c>
      <c r="D276" s="8" t="s">
        <v>1739</v>
      </c>
      <c r="E276" s="8" t="s">
        <v>1740</v>
      </c>
      <c r="F276" s="5">
        <v>2020</v>
      </c>
      <c r="G276" s="5">
        <v>362</v>
      </c>
      <c r="H276" s="5">
        <v>370</v>
      </c>
      <c r="I276" s="8"/>
      <c r="J276" s="13"/>
      <c r="K276" s="8" t="s">
        <v>232</v>
      </c>
      <c r="L276" s="5" t="s">
        <v>233</v>
      </c>
      <c r="M276" s="8" t="s">
        <v>392</v>
      </c>
      <c r="N276" s="8" t="s">
        <v>256</v>
      </c>
      <c r="O276" s="8" t="s">
        <v>223</v>
      </c>
      <c r="P276" s="5">
        <v>3</v>
      </c>
      <c r="Q276" s="5"/>
      <c r="R276" s="5"/>
      <c r="S276" s="5"/>
      <c r="T276" s="5">
        <v>3</v>
      </c>
      <c r="U276" s="5">
        <v>3</v>
      </c>
      <c r="V276" s="5">
        <v>2</v>
      </c>
      <c r="W276" s="5">
        <v>1</v>
      </c>
      <c r="X276" s="16">
        <f>Lit_rev_final[[#This Row],[Foundationality_1_5]]*0.35+Lit_rev_final[[#This Row],[Topic_Fit_1_5]]*0.35+Lit_rev_final[[#This Row],[Outlet_Quality_1_5]]*0.2+(0.1*Lit_rev_final[[#This Row],[Bridge_Value_0_3]]/3*5)</f>
        <v>2.6666666666666661</v>
      </c>
      <c r="Y276" s="10" t="s">
        <v>702</v>
      </c>
      <c r="Z276" s="5" t="s">
        <v>156</v>
      </c>
      <c r="AA276" s="5" t="s">
        <v>46</v>
      </c>
      <c r="AB276" s="5" t="s">
        <v>46</v>
      </c>
      <c r="AC276" s="16" t="s">
        <v>1741</v>
      </c>
      <c r="AJ276" s="2"/>
    </row>
    <row r="277" spans="1:36" ht="30" customHeight="1" x14ac:dyDescent="0.15">
      <c r="A277" s="5" t="s">
        <v>156</v>
      </c>
      <c r="B277" s="8" t="s">
        <v>1742</v>
      </c>
      <c r="C277" s="8" t="s">
        <v>1743</v>
      </c>
      <c r="D277" s="8" t="s">
        <v>1744</v>
      </c>
      <c r="E277" s="8" t="s">
        <v>1745</v>
      </c>
      <c r="F277" s="5">
        <v>2023</v>
      </c>
      <c r="G277" s="5"/>
      <c r="H277" s="5"/>
      <c r="I277" s="8" t="s">
        <v>1746</v>
      </c>
      <c r="J277" s="13" t="s">
        <v>1747</v>
      </c>
      <c r="K277" s="8" t="s">
        <v>303</v>
      </c>
      <c r="L277" s="5" t="s">
        <v>233</v>
      </c>
      <c r="M277" s="8" t="s">
        <v>234</v>
      </c>
      <c r="N277" s="8" t="s">
        <v>256</v>
      </c>
      <c r="O277" s="8" t="s">
        <v>223</v>
      </c>
      <c r="P277" s="5">
        <v>3</v>
      </c>
      <c r="Q277" s="5"/>
      <c r="R277" s="5"/>
      <c r="S277" s="5"/>
      <c r="T277" s="5">
        <v>3</v>
      </c>
      <c r="U277" s="5">
        <v>3</v>
      </c>
      <c r="V277" s="5">
        <v>2</v>
      </c>
      <c r="W277" s="5">
        <v>1</v>
      </c>
      <c r="X277" s="16">
        <f>Lit_rev_final[[#This Row],[Foundationality_1_5]]*0.35+Lit_rev_final[[#This Row],[Topic_Fit_1_5]]*0.35+Lit_rev_final[[#This Row],[Outlet_Quality_1_5]]*0.2+(0.1*Lit_rev_final[[#This Row],[Bridge_Value_0_3]]/3*5)</f>
        <v>2.6666666666666661</v>
      </c>
      <c r="Y277" s="10" t="s">
        <v>566</v>
      </c>
      <c r="Z277" s="5" t="s">
        <v>156</v>
      </c>
      <c r="AA277" s="5" t="s">
        <v>46</v>
      </c>
      <c r="AB277" s="5" t="s">
        <v>46</v>
      </c>
      <c r="AC277" s="16" t="s">
        <v>1748</v>
      </c>
      <c r="AJ277" s="2"/>
    </row>
    <row r="278" spans="1:36" ht="30" customHeight="1" x14ac:dyDescent="0.15">
      <c r="A278" s="5" t="s">
        <v>156</v>
      </c>
      <c r="B278" s="8" t="s">
        <v>1749</v>
      </c>
      <c r="C278" s="8" t="s">
        <v>1750</v>
      </c>
      <c r="D278" s="8" t="s">
        <v>1751</v>
      </c>
      <c r="E278" s="8" t="s">
        <v>1752</v>
      </c>
      <c r="F278" s="5">
        <v>2019</v>
      </c>
      <c r="G278" s="5">
        <v>1638</v>
      </c>
      <c r="H278" s="5">
        <v>1648</v>
      </c>
      <c r="I278" s="8" t="s">
        <v>1753</v>
      </c>
      <c r="J278" s="13" t="s">
        <v>1754</v>
      </c>
      <c r="K278" s="8" t="s">
        <v>232</v>
      </c>
      <c r="L278" s="5" t="s">
        <v>233</v>
      </c>
      <c r="M278" s="8" t="s">
        <v>392</v>
      </c>
      <c r="N278" s="8" t="s">
        <v>256</v>
      </c>
      <c r="O278" s="8" t="s">
        <v>223</v>
      </c>
      <c r="P278" s="5">
        <v>3</v>
      </c>
      <c r="Q278" s="5"/>
      <c r="R278" s="5"/>
      <c r="S278" s="5"/>
      <c r="T278" s="5">
        <v>3</v>
      </c>
      <c r="U278" s="5">
        <v>3</v>
      </c>
      <c r="V278" s="5">
        <v>2</v>
      </c>
      <c r="W278" s="5">
        <v>1</v>
      </c>
      <c r="X278" s="16">
        <f>Lit_rev_final[[#This Row],[Foundationality_1_5]]*0.35+Lit_rev_final[[#This Row],[Topic_Fit_1_5]]*0.35+Lit_rev_final[[#This Row],[Outlet_Quality_1_5]]*0.2+(0.1*Lit_rev_final[[#This Row],[Bridge_Value_0_3]]/3*5)</f>
        <v>2.6666666666666661</v>
      </c>
      <c r="Y278" s="10" t="s">
        <v>566</v>
      </c>
      <c r="Z278" s="5" t="s">
        <v>156</v>
      </c>
      <c r="AA278" s="5" t="s">
        <v>46</v>
      </c>
      <c r="AB278" s="5" t="s">
        <v>46</v>
      </c>
      <c r="AC278" s="16" t="s">
        <v>1755</v>
      </c>
      <c r="AJ278" s="2"/>
    </row>
    <row r="279" spans="1:36" ht="30" customHeight="1" x14ac:dyDescent="0.15">
      <c r="A279" s="5" t="s">
        <v>156</v>
      </c>
      <c r="B279" s="8" t="s">
        <v>1756</v>
      </c>
      <c r="C279" s="8" t="s">
        <v>1757</v>
      </c>
      <c r="D279" s="8" t="s">
        <v>1758</v>
      </c>
      <c r="E279" s="8" t="s">
        <v>253</v>
      </c>
      <c r="F279" s="5">
        <v>2024</v>
      </c>
      <c r="G279" s="5"/>
      <c r="H279" s="5"/>
      <c r="I279" s="8" t="s">
        <v>1759</v>
      </c>
      <c r="J279" s="13" t="s">
        <v>1760</v>
      </c>
      <c r="K279" s="8" t="s">
        <v>232</v>
      </c>
      <c r="L279" s="5" t="s">
        <v>233</v>
      </c>
      <c r="M279" s="8" t="s">
        <v>1337</v>
      </c>
      <c r="N279" s="8" t="s">
        <v>256</v>
      </c>
      <c r="O279" s="8" t="s">
        <v>223</v>
      </c>
      <c r="P279" s="5">
        <v>3</v>
      </c>
      <c r="Q279" s="5"/>
      <c r="R279" s="5"/>
      <c r="S279" s="5"/>
      <c r="T279" s="5">
        <v>3</v>
      </c>
      <c r="U279" s="5">
        <v>3</v>
      </c>
      <c r="V279" s="5">
        <v>2</v>
      </c>
      <c r="W279" s="5">
        <v>1</v>
      </c>
      <c r="X279" s="16">
        <f>Lit_rev_final[[#This Row],[Foundationality_1_5]]*0.35+Lit_rev_final[[#This Row],[Topic_Fit_1_5]]*0.35+Lit_rev_final[[#This Row],[Outlet_Quality_1_5]]*0.2+(0.1*Lit_rev_final[[#This Row],[Bridge_Value_0_3]]/3*5)</f>
        <v>2.6666666666666661</v>
      </c>
      <c r="Y279" s="10" t="s">
        <v>702</v>
      </c>
      <c r="Z279" s="5" t="s">
        <v>156</v>
      </c>
      <c r="AA279" s="5" t="s">
        <v>46</v>
      </c>
      <c r="AB279" s="5" t="s">
        <v>46</v>
      </c>
      <c r="AC279" s="16" t="s">
        <v>1761</v>
      </c>
      <c r="AJ279" s="2"/>
    </row>
    <row r="280" spans="1:36" ht="30" customHeight="1" x14ac:dyDescent="0.15">
      <c r="A280" s="5" t="s">
        <v>156</v>
      </c>
      <c r="B280" s="8" t="s">
        <v>1762</v>
      </c>
      <c r="C280" s="8" t="s">
        <v>1763</v>
      </c>
      <c r="D280" s="8" t="s">
        <v>1764</v>
      </c>
      <c r="E280" s="8" t="s">
        <v>1765</v>
      </c>
      <c r="F280" s="5">
        <v>2024</v>
      </c>
      <c r="G280" s="5"/>
      <c r="H280" s="5"/>
      <c r="I280" s="8" t="s">
        <v>1766</v>
      </c>
      <c r="J280" s="13" t="s">
        <v>1767</v>
      </c>
      <c r="K280" s="8" t="s">
        <v>232</v>
      </c>
      <c r="L280" s="5" t="s">
        <v>233</v>
      </c>
      <c r="M280" s="8" t="s">
        <v>234</v>
      </c>
      <c r="N280" s="8" t="s">
        <v>256</v>
      </c>
      <c r="O280" s="8" t="s">
        <v>223</v>
      </c>
      <c r="P280" s="5">
        <v>3</v>
      </c>
      <c r="Q280" s="5"/>
      <c r="R280" s="5"/>
      <c r="S280" s="5"/>
      <c r="T280" s="5">
        <v>3</v>
      </c>
      <c r="U280" s="5">
        <v>3</v>
      </c>
      <c r="V280" s="5">
        <v>2</v>
      </c>
      <c r="W280" s="5">
        <v>1</v>
      </c>
      <c r="X280" s="16">
        <f>Lit_rev_final[[#This Row],[Foundationality_1_5]]*0.35+Lit_rev_final[[#This Row],[Topic_Fit_1_5]]*0.35+Lit_rev_final[[#This Row],[Outlet_Quality_1_5]]*0.2+(0.1*Lit_rev_final[[#This Row],[Bridge_Value_0_3]]/3*5)</f>
        <v>2.6666666666666661</v>
      </c>
      <c r="Y280" s="10" t="s">
        <v>1338</v>
      </c>
      <c r="Z280" s="5" t="s">
        <v>156</v>
      </c>
      <c r="AA280" s="5" t="s">
        <v>46</v>
      </c>
      <c r="AB280" s="5" t="s">
        <v>46</v>
      </c>
      <c r="AC280" s="16" t="s">
        <v>1768</v>
      </c>
      <c r="AJ280" s="2"/>
    </row>
    <row r="281" spans="1:36" ht="30" customHeight="1" x14ac:dyDescent="0.15">
      <c r="A281" s="5" t="s">
        <v>156</v>
      </c>
      <c r="B281" s="8" t="s">
        <v>1769</v>
      </c>
      <c r="C281" s="8" t="s">
        <v>1770</v>
      </c>
      <c r="D281" s="8" t="s">
        <v>597</v>
      </c>
      <c r="E281" s="8" t="s">
        <v>152</v>
      </c>
      <c r="F281" s="5">
        <v>2019</v>
      </c>
      <c r="G281" s="5"/>
      <c r="H281" s="5"/>
      <c r="I281" s="8" t="s">
        <v>1771</v>
      </c>
      <c r="J281" s="13" t="s">
        <v>1772</v>
      </c>
      <c r="K281" s="8" t="s">
        <v>232</v>
      </c>
      <c r="L281" s="5" t="s">
        <v>233</v>
      </c>
      <c r="M281" s="8" t="s">
        <v>234</v>
      </c>
      <c r="N281" s="8" t="s">
        <v>256</v>
      </c>
      <c r="O281" s="8" t="s">
        <v>223</v>
      </c>
      <c r="P281" s="5">
        <v>3</v>
      </c>
      <c r="Q281" s="5"/>
      <c r="R281" s="5"/>
      <c r="S281" s="5"/>
      <c r="T281" s="5">
        <v>3</v>
      </c>
      <c r="U281" s="5">
        <v>3</v>
      </c>
      <c r="V281" s="5">
        <v>2</v>
      </c>
      <c r="W281" s="5">
        <v>1</v>
      </c>
      <c r="X281" s="16">
        <f>Lit_rev_final[[#This Row],[Foundationality_1_5]]*0.35+Lit_rev_final[[#This Row],[Topic_Fit_1_5]]*0.35+Lit_rev_final[[#This Row],[Outlet_Quality_1_5]]*0.2+(0.1*Lit_rev_final[[#This Row],[Bridge_Value_0_3]]/3*5)</f>
        <v>2.6666666666666661</v>
      </c>
      <c r="Y281" s="10" t="s">
        <v>566</v>
      </c>
      <c r="Z281" s="5" t="s">
        <v>156</v>
      </c>
      <c r="AA281" s="5" t="s">
        <v>46</v>
      </c>
      <c r="AB281" s="5" t="s">
        <v>46</v>
      </c>
      <c r="AC281" s="16" t="s">
        <v>1773</v>
      </c>
      <c r="AJ281" s="2"/>
    </row>
    <row r="282" spans="1:36" ht="30" customHeight="1" x14ac:dyDescent="0.15">
      <c r="A282" s="5" t="s">
        <v>156</v>
      </c>
      <c r="B282" s="8" t="s">
        <v>1774</v>
      </c>
      <c r="C282" s="8" t="s">
        <v>1775</v>
      </c>
      <c r="D282" s="8" t="s">
        <v>1776</v>
      </c>
      <c r="E282" s="8" t="s">
        <v>389</v>
      </c>
      <c r="F282" s="5">
        <v>2025</v>
      </c>
      <c r="G282" s="5">
        <v>317</v>
      </c>
      <c r="H282" s="5">
        <v>328</v>
      </c>
      <c r="I282" s="8" t="s">
        <v>1777</v>
      </c>
      <c r="J282" s="13" t="s">
        <v>1778</v>
      </c>
      <c r="K282" s="8" t="s">
        <v>232</v>
      </c>
      <c r="L282" s="5" t="s">
        <v>233</v>
      </c>
      <c r="M282" s="8" t="s">
        <v>392</v>
      </c>
      <c r="N282" s="8" t="s">
        <v>256</v>
      </c>
      <c r="O282" s="8" t="s">
        <v>120</v>
      </c>
      <c r="P282" s="5">
        <v>3</v>
      </c>
      <c r="Q282" s="5"/>
      <c r="R282" s="5"/>
      <c r="S282" s="5"/>
      <c r="T282" s="5">
        <v>3</v>
      </c>
      <c r="U282" s="5">
        <v>3</v>
      </c>
      <c r="V282" s="5">
        <v>2</v>
      </c>
      <c r="W282" s="5">
        <v>1</v>
      </c>
      <c r="X282" s="16">
        <f>Lit_rev_final[[#This Row],[Foundationality_1_5]]*0.35+Lit_rev_final[[#This Row],[Topic_Fit_1_5]]*0.35+Lit_rev_final[[#This Row],[Outlet_Quality_1_5]]*0.2+(0.1*Lit_rev_final[[#This Row],[Bridge_Value_0_3]]/3*5)</f>
        <v>2.6666666666666661</v>
      </c>
      <c r="Y282" s="10" t="s">
        <v>851</v>
      </c>
      <c r="Z282" s="5" t="s">
        <v>156</v>
      </c>
      <c r="AA282" s="5" t="s">
        <v>46</v>
      </c>
      <c r="AB282" s="5" t="s">
        <v>46</v>
      </c>
      <c r="AC282" s="16" t="s">
        <v>1779</v>
      </c>
      <c r="AJ282" s="2"/>
    </row>
    <row r="283" spans="1:36" ht="30" customHeight="1" x14ac:dyDescent="0.15">
      <c r="A283" s="5" t="s">
        <v>156</v>
      </c>
      <c r="B283" s="8" t="s">
        <v>1780</v>
      </c>
      <c r="C283" s="8" t="s">
        <v>1781</v>
      </c>
      <c r="D283" s="8" t="s">
        <v>1782</v>
      </c>
      <c r="E283" s="8" t="s">
        <v>1783</v>
      </c>
      <c r="F283" s="5">
        <v>2025</v>
      </c>
      <c r="G283" s="5"/>
      <c r="H283" s="5"/>
      <c r="I283" s="8" t="s">
        <v>1784</v>
      </c>
      <c r="J283" s="13" t="s">
        <v>1785</v>
      </c>
      <c r="K283" s="8" t="s">
        <v>377</v>
      </c>
      <c r="L283" s="5" t="s">
        <v>233</v>
      </c>
      <c r="M283" s="8" t="s">
        <v>46</v>
      </c>
      <c r="N283" s="8" t="s">
        <v>256</v>
      </c>
      <c r="O283" s="8" t="s">
        <v>120</v>
      </c>
      <c r="P283" s="5">
        <v>3</v>
      </c>
      <c r="Q283" s="5"/>
      <c r="R283" s="5"/>
      <c r="S283" s="5"/>
      <c r="T283" s="5">
        <v>3</v>
      </c>
      <c r="U283" s="5">
        <v>3</v>
      </c>
      <c r="V283" s="5">
        <v>2</v>
      </c>
      <c r="W283" s="5">
        <v>1</v>
      </c>
      <c r="X283" s="16">
        <f>Lit_rev_final[[#This Row],[Foundationality_1_5]]*0.35+Lit_rev_final[[#This Row],[Topic_Fit_1_5]]*0.35+Lit_rev_final[[#This Row],[Outlet_Quality_1_5]]*0.2+(0.1*Lit_rev_final[[#This Row],[Bridge_Value_0_3]]/3*5)</f>
        <v>2.6666666666666661</v>
      </c>
      <c r="Y283" s="10" t="s">
        <v>581</v>
      </c>
      <c r="Z283" s="5" t="s">
        <v>156</v>
      </c>
      <c r="AA283" s="5" t="s">
        <v>46</v>
      </c>
      <c r="AB283" s="5" t="s">
        <v>46</v>
      </c>
      <c r="AC283" s="16" t="s">
        <v>1786</v>
      </c>
      <c r="AJ283" s="2"/>
    </row>
    <row r="284" spans="1:36" ht="30" customHeight="1" x14ac:dyDescent="0.15">
      <c r="A284" s="5" t="s">
        <v>156</v>
      </c>
      <c r="B284" s="8" t="s">
        <v>1787</v>
      </c>
      <c r="C284" s="8" t="s">
        <v>1788</v>
      </c>
      <c r="D284" s="8" t="s">
        <v>1789</v>
      </c>
      <c r="E284" s="8" t="s">
        <v>1790</v>
      </c>
      <c r="F284" s="5">
        <v>2018</v>
      </c>
      <c r="G284" s="5"/>
      <c r="H284" s="5"/>
      <c r="I284" s="8"/>
      <c r="J284" s="13" t="s">
        <v>1791</v>
      </c>
      <c r="K284" s="8" t="s">
        <v>303</v>
      </c>
      <c r="L284" s="5" t="s">
        <v>233</v>
      </c>
      <c r="M284" s="8" t="s">
        <v>367</v>
      </c>
      <c r="N284" s="8" t="s">
        <v>256</v>
      </c>
      <c r="O284" s="8" t="s">
        <v>223</v>
      </c>
      <c r="P284" s="5">
        <v>3</v>
      </c>
      <c r="Q284" s="5"/>
      <c r="R284" s="5"/>
      <c r="S284" s="5"/>
      <c r="T284" s="5">
        <v>3</v>
      </c>
      <c r="U284" s="5">
        <v>3</v>
      </c>
      <c r="V284" s="5">
        <v>2</v>
      </c>
      <c r="W284" s="5">
        <v>1</v>
      </c>
      <c r="X284" s="16">
        <f>Lit_rev_final[[#This Row],[Foundationality_1_5]]*0.35+Lit_rev_final[[#This Row],[Topic_Fit_1_5]]*0.35+Lit_rev_final[[#This Row],[Outlet_Quality_1_5]]*0.2+(0.1*Lit_rev_final[[#This Row],[Bridge_Value_0_3]]/3*5)</f>
        <v>2.6666666666666661</v>
      </c>
      <c r="Y284" s="10" t="s">
        <v>566</v>
      </c>
      <c r="Z284" s="5" t="s">
        <v>156</v>
      </c>
      <c r="AA284" s="5" t="s">
        <v>46</v>
      </c>
      <c r="AB284" s="5" t="s">
        <v>46</v>
      </c>
      <c r="AC284" s="16" t="s">
        <v>1792</v>
      </c>
      <c r="AJ284" s="2"/>
    </row>
    <row r="285" spans="1:36" ht="30" customHeight="1" x14ac:dyDescent="0.15">
      <c r="A285" s="5" t="s">
        <v>156</v>
      </c>
      <c r="B285" s="8" t="s">
        <v>1793</v>
      </c>
      <c r="C285" s="8" t="s">
        <v>1794</v>
      </c>
      <c r="D285" s="8" t="s">
        <v>1795</v>
      </c>
      <c r="E285" s="8" t="s">
        <v>1796</v>
      </c>
      <c r="F285" s="5">
        <v>2023</v>
      </c>
      <c r="G285" s="5"/>
      <c r="H285" s="5"/>
      <c r="I285" s="8" t="s">
        <v>1797</v>
      </c>
      <c r="J285" s="13" t="s">
        <v>1798</v>
      </c>
      <c r="K285" s="8" t="s">
        <v>232</v>
      </c>
      <c r="L285" s="5" t="s">
        <v>233</v>
      </c>
      <c r="M285" s="8" t="s">
        <v>234</v>
      </c>
      <c r="N285" s="8" t="s">
        <v>256</v>
      </c>
      <c r="O285" s="8" t="s">
        <v>223</v>
      </c>
      <c r="P285" s="5">
        <v>3</v>
      </c>
      <c r="Q285" s="5"/>
      <c r="R285" s="5"/>
      <c r="S285" s="5"/>
      <c r="T285" s="5">
        <v>3</v>
      </c>
      <c r="U285" s="5">
        <v>3</v>
      </c>
      <c r="V285" s="5">
        <v>2</v>
      </c>
      <c r="W285" s="5">
        <v>1</v>
      </c>
      <c r="X285" s="16">
        <f>Lit_rev_final[[#This Row],[Foundationality_1_5]]*0.35+Lit_rev_final[[#This Row],[Topic_Fit_1_5]]*0.35+Lit_rev_final[[#This Row],[Outlet_Quality_1_5]]*0.2+(0.1*Lit_rev_final[[#This Row],[Bridge_Value_0_3]]/3*5)</f>
        <v>2.6666666666666661</v>
      </c>
      <c r="Y285" s="10" t="s">
        <v>626</v>
      </c>
      <c r="Z285" s="5" t="s">
        <v>156</v>
      </c>
      <c r="AA285" s="5" t="s">
        <v>46</v>
      </c>
      <c r="AB285" s="5" t="s">
        <v>46</v>
      </c>
      <c r="AC285" s="16" t="s">
        <v>1799</v>
      </c>
      <c r="AJ285" s="2"/>
    </row>
    <row r="286" spans="1:36" ht="30" customHeight="1" x14ac:dyDescent="0.15">
      <c r="A286" s="5" t="s">
        <v>156</v>
      </c>
      <c r="B286" s="8" t="s">
        <v>1800</v>
      </c>
      <c r="C286" s="8" t="s">
        <v>1801</v>
      </c>
      <c r="D286" s="8" t="s">
        <v>1802</v>
      </c>
      <c r="E286" s="8" t="s">
        <v>1803</v>
      </c>
      <c r="F286" s="5">
        <v>2016</v>
      </c>
      <c r="G286" s="5">
        <v>72</v>
      </c>
      <c r="H286" s="5">
        <v>78</v>
      </c>
      <c r="I286" s="8"/>
      <c r="J286" s="13"/>
      <c r="K286" s="8" t="s">
        <v>232</v>
      </c>
      <c r="L286" s="5" t="s">
        <v>233</v>
      </c>
      <c r="M286" s="8" t="s">
        <v>392</v>
      </c>
      <c r="N286" s="8" t="s">
        <v>256</v>
      </c>
      <c r="O286" s="8" t="s">
        <v>223</v>
      </c>
      <c r="P286" s="5">
        <v>3</v>
      </c>
      <c r="Q286" s="5"/>
      <c r="R286" s="5"/>
      <c r="S286" s="5"/>
      <c r="T286" s="5">
        <v>3</v>
      </c>
      <c r="U286" s="5">
        <v>3</v>
      </c>
      <c r="V286" s="5">
        <v>2</v>
      </c>
      <c r="W286" s="5">
        <v>1</v>
      </c>
      <c r="X286" s="16">
        <f>Lit_rev_final[[#This Row],[Foundationality_1_5]]*0.35+Lit_rev_final[[#This Row],[Topic_Fit_1_5]]*0.35+Lit_rev_final[[#This Row],[Outlet_Quality_1_5]]*0.2+(0.1*Lit_rev_final[[#This Row],[Bridge_Value_0_3]]/3*5)</f>
        <v>2.6666666666666661</v>
      </c>
      <c r="Y286" s="10" t="s">
        <v>566</v>
      </c>
      <c r="Z286" s="5" t="s">
        <v>156</v>
      </c>
      <c r="AA286" s="5" t="s">
        <v>46</v>
      </c>
      <c r="AB286" s="5" t="s">
        <v>46</v>
      </c>
      <c r="AC286" s="16" t="s">
        <v>1804</v>
      </c>
      <c r="AJ286" s="2"/>
    </row>
    <row r="287" spans="1:36" ht="30" customHeight="1" x14ac:dyDescent="0.15">
      <c r="A287" s="5" t="s">
        <v>156</v>
      </c>
      <c r="B287" s="8" t="s">
        <v>1805</v>
      </c>
      <c r="C287" s="8" t="s">
        <v>1806</v>
      </c>
      <c r="D287" s="8" t="s">
        <v>1807</v>
      </c>
      <c r="E287" s="8" t="s">
        <v>1808</v>
      </c>
      <c r="F287" s="5">
        <v>2019</v>
      </c>
      <c r="G287" s="5"/>
      <c r="H287" s="5"/>
      <c r="I287" s="8" t="s">
        <v>1809</v>
      </c>
      <c r="J287" s="13" t="s">
        <v>1810</v>
      </c>
      <c r="K287" s="8" t="s">
        <v>303</v>
      </c>
      <c r="L287" s="5" t="s">
        <v>233</v>
      </c>
      <c r="M287" s="8" t="s">
        <v>367</v>
      </c>
      <c r="N287" s="8" t="s">
        <v>256</v>
      </c>
      <c r="O287" s="8" t="s">
        <v>223</v>
      </c>
      <c r="P287" s="5">
        <v>3</v>
      </c>
      <c r="Q287" s="5"/>
      <c r="R287" s="5"/>
      <c r="S287" s="5"/>
      <c r="T287" s="5">
        <v>3</v>
      </c>
      <c r="U287" s="5">
        <v>3</v>
      </c>
      <c r="V287" s="5">
        <v>2</v>
      </c>
      <c r="W287" s="5">
        <v>1</v>
      </c>
      <c r="X287" s="16">
        <f>Lit_rev_final[[#This Row],[Foundationality_1_5]]*0.35+Lit_rev_final[[#This Row],[Topic_Fit_1_5]]*0.35+Lit_rev_final[[#This Row],[Outlet_Quality_1_5]]*0.2+(0.1*Lit_rev_final[[#This Row],[Bridge_Value_0_3]]/3*5)</f>
        <v>2.6666666666666661</v>
      </c>
      <c r="Y287" s="10" t="s">
        <v>566</v>
      </c>
      <c r="Z287" s="5" t="s">
        <v>156</v>
      </c>
      <c r="AA287" s="5" t="s">
        <v>46</v>
      </c>
      <c r="AB287" s="5" t="s">
        <v>46</v>
      </c>
      <c r="AC287" s="16" t="s">
        <v>1811</v>
      </c>
      <c r="AJ287" s="2"/>
    </row>
    <row r="288" spans="1:36" ht="30" customHeight="1" x14ac:dyDescent="0.15">
      <c r="A288" s="5" t="s">
        <v>156</v>
      </c>
      <c r="B288" s="8" t="s">
        <v>1812</v>
      </c>
      <c r="C288" s="8" t="s">
        <v>1813</v>
      </c>
      <c r="D288" s="8" t="s">
        <v>1814</v>
      </c>
      <c r="E288" s="8" t="s">
        <v>1815</v>
      </c>
      <c r="F288" s="5">
        <v>2015</v>
      </c>
      <c r="G288" s="5"/>
      <c r="H288" s="5"/>
      <c r="I288" s="8" t="s">
        <v>1816</v>
      </c>
      <c r="J288" s="13" t="s">
        <v>1817</v>
      </c>
      <c r="K288" s="8" t="s">
        <v>303</v>
      </c>
      <c r="L288" s="5" t="s">
        <v>233</v>
      </c>
      <c r="M288" s="8" t="s">
        <v>367</v>
      </c>
      <c r="N288" s="8" t="s">
        <v>256</v>
      </c>
      <c r="O288" s="8" t="s">
        <v>223</v>
      </c>
      <c r="P288" s="5">
        <v>3</v>
      </c>
      <c r="Q288" s="5"/>
      <c r="R288" s="5"/>
      <c r="S288" s="5"/>
      <c r="T288" s="5">
        <v>3</v>
      </c>
      <c r="U288" s="5">
        <v>3</v>
      </c>
      <c r="V288" s="5">
        <v>2</v>
      </c>
      <c r="W288" s="5">
        <v>1</v>
      </c>
      <c r="X288" s="16">
        <f>Lit_rev_final[[#This Row],[Foundationality_1_5]]*0.35+Lit_rev_final[[#This Row],[Topic_Fit_1_5]]*0.35+Lit_rev_final[[#This Row],[Outlet_Quality_1_5]]*0.2+(0.1*Lit_rev_final[[#This Row],[Bridge_Value_0_3]]/3*5)</f>
        <v>2.6666666666666661</v>
      </c>
      <c r="Y288" s="10" t="s">
        <v>566</v>
      </c>
      <c r="Z288" s="5" t="s">
        <v>156</v>
      </c>
      <c r="AA288" s="5" t="s">
        <v>46</v>
      </c>
      <c r="AB288" s="5" t="s">
        <v>46</v>
      </c>
      <c r="AC288" s="16" t="s">
        <v>1818</v>
      </c>
      <c r="AJ288" s="2"/>
    </row>
    <row r="289" spans="1:36" ht="30" customHeight="1" x14ac:dyDescent="0.15">
      <c r="A289" s="5" t="s">
        <v>156</v>
      </c>
      <c r="B289" s="8" t="s">
        <v>1819</v>
      </c>
      <c r="C289" s="8" t="s">
        <v>1820</v>
      </c>
      <c r="D289" s="8" t="s">
        <v>1821</v>
      </c>
      <c r="E289" s="8" t="s">
        <v>1822</v>
      </c>
      <c r="F289" s="5">
        <v>2025</v>
      </c>
      <c r="G289" s="5"/>
      <c r="H289" s="5"/>
      <c r="I289" s="8"/>
      <c r="J289" s="13"/>
      <c r="K289" s="8" t="s">
        <v>232</v>
      </c>
      <c r="L289" s="5" t="s">
        <v>233</v>
      </c>
      <c r="M289" s="8" t="s">
        <v>392</v>
      </c>
      <c r="N289" s="8" t="s">
        <v>256</v>
      </c>
      <c r="O289" s="8" t="s">
        <v>120</v>
      </c>
      <c r="P289" s="5">
        <v>3</v>
      </c>
      <c r="Q289" s="5"/>
      <c r="R289" s="5"/>
      <c r="S289" s="5"/>
      <c r="T289" s="5">
        <v>3</v>
      </c>
      <c r="U289" s="5">
        <v>3</v>
      </c>
      <c r="V289" s="5">
        <v>2</v>
      </c>
      <c r="W289" s="5">
        <v>1</v>
      </c>
      <c r="X289" s="16">
        <f>Lit_rev_final[[#This Row],[Foundationality_1_5]]*0.35+Lit_rev_final[[#This Row],[Topic_Fit_1_5]]*0.35+Lit_rev_final[[#This Row],[Outlet_Quality_1_5]]*0.2+(0.1*Lit_rev_final[[#This Row],[Bridge_Value_0_3]]/3*5)</f>
        <v>2.6666666666666661</v>
      </c>
      <c r="Y289" s="10" t="s">
        <v>851</v>
      </c>
      <c r="Z289" s="5" t="s">
        <v>156</v>
      </c>
      <c r="AA289" s="5" t="s">
        <v>46</v>
      </c>
      <c r="AB289" s="5" t="s">
        <v>46</v>
      </c>
      <c r="AC289" s="16" t="s">
        <v>1823</v>
      </c>
      <c r="AJ289" s="2"/>
    </row>
    <row r="290" spans="1:36" ht="30" customHeight="1" x14ac:dyDescent="0.15">
      <c r="A290" s="5" t="s">
        <v>156</v>
      </c>
      <c r="B290" s="8" t="s">
        <v>1824</v>
      </c>
      <c r="C290" s="8" t="s">
        <v>1825</v>
      </c>
      <c r="D290" s="8" t="s">
        <v>1826</v>
      </c>
      <c r="E290" s="8" t="s">
        <v>1827</v>
      </c>
      <c r="F290" s="5">
        <v>2022</v>
      </c>
      <c r="G290" s="5">
        <v>301</v>
      </c>
      <c r="H290" s="5">
        <v>310</v>
      </c>
      <c r="I290" s="8"/>
      <c r="J290" s="13"/>
      <c r="K290" s="8" t="s">
        <v>232</v>
      </c>
      <c r="L290" s="5" t="s">
        <v>233</v>
      </c>
      <c r="M290" s="8" t="s">
        <v>234</v>
      </c>
      <c r="N290" s="8" t="s">
        <v>256</v>
      </c>
      <c r="O290" s="8" t="s">
        <v>223</v>
      </c>
      <c r="P290" s="5">
        <v>3</v>
      </c>
      <c r="Q290" s="5"/>
      <c r="R290" s="5"/>
      <c r="S290" s="5"/>
      <c r="T290" s="5">
        <v>3</v>
      </c>
      <c r="U290" s="5">
        <v>3</v>
      </c>
      <c r="V290" s="5">
        <v>2</v>
      </c>
      <c r="W290" s="5">
        <v>1</v>
      </c>
      <c r="X290" s="16">
        <f>Lit_rev_final[[#This Row],[Foundationality_1_5]]*0.35+Lit_rev_final[[#This Row],[Topic_Fit_1_5]]*0.35+Lit_rev_final[[#This Row],[Outlet_Quality_1_5]]*0.2+(0.1*Lit_rev_final[[#This Row],[Bridge_Value_0_3]]/3*5)</f>
        <v>2.6666666666666661</v>
      </c>
      <c r="Y290" s="10" t="s">
        <v>626</v>
      </c>
      <c r="Z290" s="5" t="s">
        <v>156</v>
      </c>
      <c r="AA290" s="5" t="s">
        <v>46</v>
      </c>
      <c r="AB290" s="5" t="s">
        <v>46</v>
      </c>
      <c r="AC290" s="16" t="s">
        <v>1828</v>
      </c>
      <c r="AJ290" s="2"/>
    </row>
    <row r="291" spans="1:36" ht="30" customHeight="1" x14ac:dyDescent="0.15">
      <c r="A291" s="5" t="s">
        <v>156</v>
      </c>
      <c r="B291" s="8" t="s">
        <v>1829</v>
      </c>
      <c r="C291" s="8" t="s">
        <v>1830</v>
      </c>
      <c r="D291" s="8" t="s">
        <v>1831</v>
      </c>
      <c r="E291" s="8" t="s">
        <v>1832</v>
      </c>
      <c r="F291" s="5">
        <v>2025</v>
      </c>
      <c r="G291" s="5"/>
      <c r="H291" s="5"/>
      <c r="I291" s="8" t="s">
        <v>1833</v>
      </c>
      <c r="J291" s="13" t="s">
        <v>1834</v>
      </c>
      <c r="K291" s="8" t="s">
        <v>303</v>
      </c>
      <c r="L291" s="5" t="s">
        <v>233</v>
      </c>
      <c r="M291" s="8" t="s">
        <v>234</v>
      </c>
      <c r="N291" s="8" t="s">
        <v>256</v>
      </c>
      <c r="O291" s="8" t="s">
        <v>223</v>
      </c>
      <c r="P291" s="5">
        <v>3</v>
      </c>
      <c r="Q291" s="5"/>
      <c r="R291" s="5"/>
      <c r="S291" s="5"/>
      <c r="T291" s="5">
        <v>3</v>
      </c>
      <c r="U291" s="5">
        <v>3</v>
      </c>
      <c r="V291" s="5">
        <v>2</v>
      </c>
      <c r="W291" s="5">
        <v>1</v>
      </c>
      <c r="X291" s="16">
        <f>Lit_rev_final[[#This Row],[Foundationality_1_5]]*0.35+Lit_rev_final[[#This Row],[Topic_Fit_1_5]]*0.35+Lit_rev_final[[#This Row],[Outlet_Quality_1_5]]*0.2+(0.1*Lit_rev_final[[#This Row],[Bridge_Value_0_3]]/3*5)</f>
        <v>2.6666666666666661</v>
      </c>
      <c r="Y291" s="10" t="s">
        <v>566</v>
      </c>
      <c r="Z291" s="5" t="s">
        <v>156</v>
      </c>
      <c r="AA291" s="5" t="s">
        <v>46</v>
      </c>
      <c r="AB291" s="5" t="s">
        <v>46</v>
      </c>
      <c r="AC291" s="16" t="s">
        <v>1835</v>
      </c>
      <c r="AJ291" s="2"/>
    </row>
    <row r="292" spans="1:36" ht="30" customHeight="1" x14ac:dyDescent="0.15">
      <c r="A292" s="5" t="s">
        <v>156</v>
      </c>
      <c r="B292" s="8" t="s">
        <v>1836</v>
      </c>
      <c r="C292" s="8" t="s">
        <v>1837</v>
      </c>
      <c r="D292" s="8" t="s">
        <v>1838</v>
      </c>
      <c r="E292" s="8" t="s">
        <v>1839</v>
      </c>
      <c r="F292" s="5">
        <v>2021</v>
      </c>
      <c r="G292" s="5">
        <v>131</v>
      </c>
      <c r="H292" s="5">
        <v>163</v>
      </c>
      <c r="I292" s="8" t="s">
        <v>1840</v>
      </c>
      <c r="J292" s="13" t="s">
        <v>1841</v>
      </c>
      <c r="K292" s="8" t="s">
        <v>232</v>
      </c>
      <c r="L292" s="5" t="s">
        <v>233</v>
      </c>
      <c r="M292" s="8" t="s">
        <v>234</v>
      </c>
      <c r="N292" s="8" t="s">
        <v>256</v>
      </c>
      <c r="O292" s="8" t="s">
        <v>223</v>
      </c>
      <c r="P292" s="5">
        <v>3</v>
      </c>
      <c r="Q292" s="5"/>
      <c r="R292" s="5"/>
      <c r="S292" s="5"/>
      <c r="T292" s="5">
        <v>3</v>
      </c>
      <c r="U292" s="5">
        <v>3</v>
      </c>
      <c r="V292" s="5">
        <v>2</v>
      </c>
      <c r="W292" s="5">
        <v>1</v>
      </c>
      <c r="X292" s="16">
        <f>Lit_rev_final[[#This Row],[Foundationality_1_5]]*0.35+Lit_rev_final[[#This Row],[Topic_Fit_1_5]]*0.35+Lit_rev_final[[#This Row],[Outlet_Quality_1_5]]*0.2+(0.1*Lit_rev_final[[#This Row],[Bridge_Value_0_3]]/3*5)</f>
        <v>2.6666666666666661</v>
      </c>
      <c r="Y292" s="10" t="s">
        <v>566</v>
      </c>
      <c r="Z292" s="5" t="s">
        <v>156</v>
      </c>
      <c r="AA292" s="5" t="s">
        <v>46</v>
      </c>
      <c r="AB292" s="5" t="s">
        <v>46</v>
      </c>
      <c r="AC292" s="16" t="s">
        <v>1842</v>
      </c>
      <c r="AJ292" s="2"/>
    </row>
    <row r="293" spans="1:36" ht="30" customHeight="1" x14ac:dyDescent="0.15">
      <c r="A293" s="5" t="s">
        <v>156</v>
      </c>
      <c r="B293" s="8" t="s">
        <v>1843</v>
      </c>
      <c r="C293" s="8" t="s">
        <v>1844</v>
      </c>
      <c r="D293" s="8" t="s">
        <v>1845</v>
      </c>
      <c r="E293" s="8" t="s">
        <v>1239</v>
      </c>
      <c r="F293" s="5">
        <v>2025</v>
      </c>
      <c r="G293" s="5">
        <v>895</v>
      </c>
      <c r="H293" s="5">
        <v>909</v>
      </c>
      <c r="I293" s="8" t="s">
        <v>1846</v>
      </c>
      <c r="J293" s="13" t="s">
        <v>1847</v>
      </c>
      <c r="K293" s="8" t="s">
        <v>232</v>
      </c>
      <c r="L293" s="5" t="s">
        <v>233</v>
      </c>
      <c r="M293" s="8" t="s">
        <v>234</v>
      </c>
      <c r="N293" s="8" t="s">
        <v>256</v>
      </c>
      <c r="O293" s="8" t="s">
        <v>120</v>
      </c>
      <c r="P293" s="5">
        <v>3</v>
      </c>
      <c r="Q293" s="5"/>
      <c r="R293" s="5"/>
      <c r="S293" s="5"/>
      <c r="T293" s="5">
        <v>3</v>
      </c>
      <c r="U293" s="5">
        <v>3</v>
      </c>
      <c r="V293" s="5">
        <v>2</v>
      </c>
      <c r="W293" s="5">
        <v>1</v>
      </c>
      <c r="X293" s="16">
        <f>Lit_rev_final[[#This Row],[Foundationality_1_5]]*0.35+Lit_rev_final[[#This Row],[Topic_Fit_1_5]]*0.35+Lit_rev_final[[#This Row],[Outlet_Quality_1_5]]*0.2+(0.1*Lit_rev_final[[#This Row],[Bridge_Value_0_3]]/3*5)</f>
        <v>2.6666666666666661</v>
      </c>
      <c r="Y293" s="10" t="s">
        <v>581</v>
      </c>
      <c r="Z293" s="5" t="s">
        <v>156</v>
      </c>
      <c r="AA293" s="5" t="s">
        <v>46</v>
      </c>
      <c r="AB293" s="5" t="s">
        <v>46</v>
      </c>
      <c r="AC293" s="16" t="s">
        <v>1848</v>
      </c>
      <c r="AJ293" s="2"/>
    </row>
    <row r="294" spans="1:36" ht="30" customHeight="1" x14ac:dyDescent="0.15">
      <c r="A294" s="5" t="s">
        <v>156</v>
      </c>
      <c r="B294" s="8" t="s">
        <v>1849</v>
      </c>
      <c r="C294" s="8" t="s">
        <v>1850</v>
      </c>
      <c r="D294" s="8" t="s">
        <v>1851</v>
      </c>
      <c r="E294" s="8" t="s">
        <v>1852</v>
      </c>
      <c r="F294" s="5">
        <v>2019</v>
      </c>
      <c r="G294" s="5"/>
      <c r="H294" s="5"/>
      <c r="I294" s="8" t="s">
        <v>1853</v>
      </c>
      <c r="J294" s="13" t="s">
        <v>1854</v>
      </c>
      <c r="K294" s="8" t="s">
        <v>303</v>
      </c>
      <c r="L294" s="5" t="s">
        <v>233</v>
      </c>
      <c r="M294" s="8" t="s">
        <v>234</v>
      </c>
      <c r="N294" s="8" t="s">
        <v>256</v>
      </c>
      <c r="O294" s="8" t="s">
        <v>223</v>
      </c>
      <c r="P294" s="5">
        <v>3</v>
      </c>
      <c r="Q294" s="5"/>
      <c r="R294" s="5"/>
      <c r="S294" s="5"/>
      <c r="T294" s="5">
        <v>3</v>
      </c>
      <c r="U294" s="5">
        <v>3</v>
      </c>
      <c r="V294" s="5">
        <v>2</v>
      </c>
      <c r="W294" s="5">
        <v>1</v>
      </c>
      <c r="X294" s="16">
        <f>Lit_rev_final[[#This Row],[Foundationality_1_5]]*0.35+Lit_rev_final[[#This Row],[Topic_Fit_1_5]]*0.35+Lit_rev_final[[#This Row],[Outlet_Quality_1_5]]*0.2+(0.1*Lit_rev_final[[#This Row],[Bridge_Value_0_3]]/3*5)</f>
        <v>2.6666666666666661</v>
      </c>
      <c r="Y294" s="10" t="s">
        <v>1338</v>
      </c>
      <c r="Z294" s="5" t="s">
        <v>156</v>
      </c>
      <c r="AA294" s="5" t="s">
        <v>46</v>
      </c>
      <c r="AB294" s="5" t="s">
        <v>46</v>
      </c>
      <c r="AC294" s="16" t="s">
        <v>1855</v>
      </c>
      <c r="AJ294" s="2"/>
    </row>
    <row r="295" spans="1:36" ht="30" customHeight="1" x14ac:dyDescent="0.15">
      <c r="A295" s="5" t="s">
        <v>156</v>
      </c>
      <c r="B295" s="8" t="s">
        <v>1856</v>
      </c>
      <c r="C295" s="8" t="s">
        <v>1857</v>
      </c>
      <c r="D295" s="8" t="s">
        <v>1858</v>
      </c>
      <c r="E295" s="8" t="s">
        <v>1859</v>
      </c>
      <c r="F295" s="5">
        <v>2024</v>
      </c>
      <c r="G295" s="5"/>
      <c r="H295" s="5"/>
      <c r="I295" s="8" t="s">
        <v>1860</v>
      </c>
      <c r="J295" s="13" t="s">
        <v>1861</v>
      </c>
      <c r="K295" s="8" t="s">
        <v>303</v>
      </c>
      <c r="L295" s="5" t="s">
        <v>233</v>
      </c>
      <c r="M295" s="8" t="s">
        <v>367</v>
      </c>
      <c r="N295" s="8" t="s">
        <v>256</v>
      </c>
      <c r="O295" s="8" t="s">
        <v>120</v>
      </c>
      <c r="P295" s="5">
        <v>3</v>
      </c>
      <c r="Q295" s="5"/>
      <c r="R295" s="5"/>
      <c r="S295" s="5"/>
      <c r="T295" s="5">
        <v>3</v>
      </c>
      <c r="U295" s="5">
        <v>3</v>
      </c>
      <c r="V295" s="5">
        <v>2</v>
      </c>
      <c r="W295" s="5">
        <v>1</v>
      </c>
      <c r="X295" s="16">
        <f>Lit_rev_final[[#This Row],[Foundationality_1_5]]*0.35+Lit_rev_final[[#This Row],[Topic_Fit_1_5]]*0.35+Lit_rev_final[[#This Row],[Outlet_Quality_1_5]]*0.2+(0.1*Lit_rev_final[[#This Row],[Bridge_Value_0_3]]/3*5)</f>
        <v>2.6666666666666661</v>
      </c>
      <c r="Y295" s="10" t="s">
        <v>851</v>
      </c>
      <c r="Z295" s="5" t="s">
        <v>156</v>
      </c>
      <c r="AA295" s="5" t="s">
        <v>46</v>
      </c>
      <c r="AB295" s="5" t="s">
        <v>46</v>
      </c>
      <c r="AC295" s="16" t="s">
        <v>1862</v>
      </c>
      <c r="AJ295" s="2"/>
    </row>
    <row r="296" spans="1:36" ht="30" customHeight="1" x14ac:dyDescent="0.15">
      <c r="A296" s="5" t="s">
        <v>156</v>
      </c>
      <c r="B296" s="8" t="s">
        <v>1863</v>
      </c>
      <c r="C296" s="8" t="s">
        <v>1864</v>
      </c>
      <c r="D296" s="8" t="s">
        <v>1865</v>
      </c>
      <c r="E296" s="8" t="s">
        <v>1866</v>
      </c>
      <c r="F296" s="5">
        <v>2021</v>
      </c>
      <c r="G296" s="5">
        <v>538</v>
      </c>
      <c r="H296" s="5">
        <v>548</v>
      </c>
      <c r="I296" s="8"/>
      <c r="J296" s="13"/>
      <c r="K296" s="8" t="s">
        <v>232</v>
      </c>
      <c r="L296" s="5" t="s">
        <v>233</v>
      </c>
      <c r="M296" s="8" t="s">
        <v>234</v>
      </c>
      <c r="N296" s="8" t="s">
        <v>256</v>
      </c>
      <c r="O296" s="8" t="s">
        <v>223</v>
      </c>
      <c r="P296" s="5">
        <v>3</v>
      </c>
      <c r="Q296" s="5"/>
      <c r="R296" s="5"/>
      <c r="S296" s="5"/>
      <c r="T296" s="5">
        <v>3</v>
      </c>
      <c r="U296" s="5">
        <v>3</v>
      </c>
      <c r="V296" s="5">
        <v>2</v>
      </c>
      <c r="W296" s="5">
        <v>1</v>
      </c>
      <c r="X296" s="16">
        <f>Lit_rev_final[[#This Row],[Foundationality_1_5]]*0.35+Lit_rev_final[[#This Row],[Topic_Fit_1_5]]*0.35+Lit_rev_final[[#This Row],[Outlet_Quality_1_5]]*0.2+(0.1*Lit_rev_final[[#This Row],[Bridge_Value_0_3]]/3*5)</f>
        <v>2.6666666666666661</v>
      </c>
      <c r="Y296" s="10" t="s">
        <v>626</v>
      </c>
      <c r="Z296" s="5" t="s">
        <v>156</v>
      </c>
      <c r="AA296" s="5" t="s">
        <v>46</v>
      </c>
      <c r="AB296" s="5" t="s">
        <v>46</v>
      </c>
      <c r="AC296" s="16" t="s">
        <v>1867</v>
      </c>
      <c r="AJ296" s="2"/>
    </row>
    <row r="297" spans="1:36" ht="30" customHeight="1" x14ac:dyDescent="0.15">
      <c r="A297" s="5" t="s">
        <v>156</v>
      </c>
      <c r="B297" s="8" t="s">
        <v>1868</v>
      </c>
      <c r="C297" s="8" t="s">
        <v>1869</v>
      </c>
      <c r="D297" s="8" t="s">
        <v>1870</v>
      </c>
      <c r="E297" s="8"/>
      <c r="F297" s="5">
        <v>2023</v>
      </c>
      <c r="G297" s="5"/>
      <c r="H297" s="5"/>
      <c r="I297" s="8" t="s">
        <v>1871</v>
      </c>
      <c r="J297" s="13" t="s">
        <v>1872</v>
      </c>
      <c r="K297" s="8" t="s">
        <v>912</v>
      </c>
      <c r="L297" s="5" t="s">
        <v>233</v>
      </c>
      <c r="M297" s="8" t="s">
        <v>46</v>
      </c>
      <c r="N297" s="8" t="s">
        <v>256</v>
      </c>
      <c r="O297" s="8" t="s">
        <v>120</v>
      </c>
      <c r="P297" s="5">
        <v>3</v>
      </c>
      <c r="Q297" s="5"/>
      <c r="R297" s="5"/>
      <c r="S297" s="5"/>
      <c r="T297" s="5">
        <v>3</v>
      </c>
      <c r="U297" s="5">
        <v>3</v>
      </c>
      <c r="V297" s="5">
        <v>2</v>
      </c>
      <c r="W297" s="5">
        <v>1</v>
      </c>
      <c r="X297" s="16">
        <f>Lit_rev_final[[#This Row],[Foundationality_1_5]]*0.35+Lit_rev_final[[#This Row],[Topic_Fit_1_5]]*0.35+Lit_rev_final[[#This Row],[Outlet_Quality_1_5]]*0.2+(0.1*Lit_rev_final[[#This Row],[Bridge_Value_0_3]]/3*5)</f>
        <v>2.6666666666666661</v>
      </c>
      <c r="Y297" s="10" t="s">
        <v>839</v>
      </c>
      <c r="Z297" s="5" t="s">
        <v>156</v>
      </c>
      <c r="AA297" s="5" t="s">
        <v>46</v>
      </c>
      <c r="AB297" s="5" t="s">
        <v>46</v>
      </c>
      <c r="AC297" s="16" t="s">
        <v>1873</v>
      </c>
      <c r="AJ297" s="2"/>
    </row>
    <row r="298" spans="1:36" ht="30" customHeight="1" x14ac:dyDescent="0.15">
      <c r="A298" s="5" t="s">
        <v>156</v>
      </c>
      <c r="B298" s="8" t="s">
        <v>1874</v>
      </c>
      <c r="C298" s="8" t="s">
        <v>1875</v>
      </c>
      <c r="D298" s="8" t="s">
        <v>1876</v>
      </c>
      <c r="E298" s="8" t="s">
        <v>253</v>
      </c>
      <c r="F298" s="5">
        <v>2020</v>
      </c>
      <c r="G298" s="5">
        <v>373</v>
      </c>
      <c r="H298" s="5">
        <v>386</v>
      </c>
      <c r="I298" s="8" t="s">
        <v>1877</v>
      </c>
      <c r="J298" s="13" t="s">
        <v>1878</v>
      </c>
      <c r="K298" s="8" t="s">
        <v>232</v>
      </c>
      <c r="L298" s="5" t="s">
        <v>233</v>
      </c>
      <c r="M298" s="8" t="s">
        <v>234</v>
      </c>
      <c r="N298" s="8" t="s">
        <v>256</v>
      </c>
      <c r="O298" s="8" t="s">
        <v>223</v>
      </c>
      <c r="P298" s="5">
        <v>3</v>
      </c>
      <c r="Q298" s="5"/>
      <c r="R298" s="5"/>
      <c r="S298" s="5"/>
      <c r="T298" s="5">
        <v>3</v>
      </c>
      <c r="U298" s="5">
        <v>3</v>
      </c>
      <c r="V298" s="5">
        <v>2</v>
      </c>
      <c r="W298" s="5">
        <v>1</v>
      </c>
      <c r="X298" s="16">
        <f>Lit_rev_final[[#This Row],[Foundationality_1_5]]*0.35+Lit_rev_final[[#This Row],[Topic_Fit_1_5]]*0.35+Lit_rev_final[[#This Row],[Outlet_Quality_1_5]]*0.2+(0.1*Lit_rev_final[[#This Row],[Bridge_Value_0_3]]/3*5)</f>
        <v>2.6666666666666661</v>
      </c>
      <c r="Y298" s="10" t="s">
        <v>566</v>
      </c>
      <c r="Z298" s="5" t="s">
        <v>156</v>
      </c>
      <c r="AA298" s="5" t="s">
        <v>46</v>
      </c>
      <c r="AB298" s="5" t="s">
        <v>46</v>
      </c>
      <c r="AC298" s="16" t="s">
        <v>1879</v>
      </c>
      <c r="AJ298" s="2"/>
    </row>
    <row r="299" spans="1:36" ht="30" customHeight="1" x14ac:dyDescent="0.15">
      <c r="A299" s="5" t="s">
        <v>156</v>
      </c>
      <c r="B299" s="8" t="s">
        <v>1880</v>
      </c>
      <c r="C299" s="8" t="s">
        <v>1881</v>
      </c>
      <c r="D299" s="8" t="s">
        <v>1882</v>
      </c>
      <c r="E299" s="8" t="s">
        <v>1883</v>
      </c>
      <c r="F299" s="5">
        <v>2025</v>
      </c>
      <c r="G299" s="5"/>
      <c r="H299" s="5"/>
      <c r="I299" s="8" t="s">
        <v>1884</v>
      </c>
      <c r="J299" s="13" t="s">
        <v>1885</v>
      </c>
      <c r="K299" s="8" t="s">
        <v>303</v>
      </c>
      <c r="L299" s="5" t="s">
        <v>233</v>
      </c>
      <c r="M299" s="8" t="s">
        <v>234</v>
      </c>
      <c r="N299" s="8" t="s">
        <v>256</v>
      </c>
      <c r="O299" s="8" t="s">
        <v>223</v>
      </c>
      <c r="P299" s="5">
        <v>3</v>
      </c>
      <c r="Q299" s="5"/>
      <c r="R299" s="5"/>
      <c r="S299" s="5"/>
      <c r="T299" s="5">
        <v>3</v>
      </c>
      <c r="U299" s="5">
        <v>3</v>
      </c>
      <c r="V299" s="5">
        <v>2</v>
      </c>
      <c r="W299" s="5">
        <v>1</v>
      </c>
      <c r="X299" s="16">
        <f>Lit_rev_final[[#This Row],[Foundationality_1_5]]*0.35+Lit_rev_final[[#This Row],[Topic_Fit_1_5]]*0.35+Lit_rev_final[[#This Row],[Outlet_Quality_1_5]]*0.2+(0.1*Lit_rev_final[[#This Row],[Bridge_Value_0_3]]/3*5)</f>
        <v>2.6666666666666661</v>
      </c>
      <c r="Y299" s="10" t="s">
        <v>566</v>
      </c>
      <c r="Z299" s="5" t="s">
        <v>156</v>
      </c>
      <c r="AA299" s="5" t="s">
        <v>46</v>
      </c>
      <c r="AB299" s="5" t="s">
        <v>46</v>
      </c>
      <c r="AC299" s="16" t="s">
        <v>1886</v>
      </c>
      <c r="AJ299" s="2"/>
    </row>
    <row r="300" spans="1:36" ht="30" customHeight="1" x14ac:dyDescent="0.15">
      <c r="A300" s="5" t="s">
        <v>156</v>
      </c>
      <c r="B300" s="8" t="s">
        <v>1887</v>
      </c>
      <c r="C300" s="8" t="s">
        <v>1888</v>
      </c>
      <c r="D300" s="8" t="s">
        <v>1889</v>
      </c>
      <c r="E300" s="8" t="s">
        <v>1890</v>
      </c>
      <c r="F300" s="5">
        <v>2025</v>
      </c>
      <c r="G300" s="5"/>
      <c r="H300" s="5"/>
      <c r="I300" s="8" t="s">
        <v>1891</v>
      </c>
      <c r="J300" s="13" t="s">
        <v>1892</v>
      </c>
      <c r="K300" s="8" t="s">
        <v>232</v>
      </c>
      <c r="L300" s="5" t="s">
        <v>233</v>
      </c>
      <c r="M300" s="8" t="s">
        <v>234</v>
      </c>
      <c r="N300" s="8" t="s">
        <v>256</v>
      </c>
      <c r="O300" s="8" t="s">
        <v>223</v>
      </c>
      <c r="P300" s="5">
        <v>3</v>
      </c>
      <c r="Q300" s="5"/>
      <c r="R300" s="5"/>
      <c r="S300" s="5"/>
      <c r="T300" s="5">
        <v>3</v>
      </c>
      <c r="U300" s="5">
        <v>3</v>
      </c>
      <c r="V300" s="5">
        <v>2</v>
      </c>
      <c r="W300" s="5">
        <v>1</v>
      </c>
      <c r="X300" s="16">
        <f>Lit_rev_final[[#This Row],[Foundationality_1_5]]*0.35+Lit_rev_final[[#This Row],[Topic_Fit_1_5]]*0.35+Lit_rev_final[[#This Row],[Outlet_Quality_1_5]]*0.2+(0.1*Lit_rev_final[[#This Row],[Bridge_Value_0_3]]/3*5)</f>
        <v>2.6666666666666661</v>
      </c>
      <c r="Y300" s="10" t="s">
        <v>626</v>
      </c>
      <c r="Z300" s="5" t="s">
        <v>156</v>
      </c>
      <c r="AA300" s="5" t="s">
        <v>46</v>
      </c>
      <c r="AB300" s="5" t="s">
        <v>46</v>
      </c>
      <c r="AC300" s="16" t="s">
        <v>1893</v>
      </c>
      <c r="AJ300" s="2"/>
    </row>
    <row r="301" spans="1:36" ht="30" customHeight="1" x14ac:dyDescent="0.15">
      <c r="A301" s="5" t="s">
        <v>156</v>
      </c>
      <c r="B301" s="8" t="s">
        <v>1894</v>
      </c>
      <c r="C301" s="8" t="s">
        <v>1895</v>
      </c>
      <c r="D301" s="8" t="s">
        <v>1896</v>
      </c>
      <c r="E301" s="8" t="s">
        <v>1038</v>
      </c>
      <c r="F301" s="5">
        <v>2025</v>
      </c>
      <c r="G301" s="5"/>
      <c r="H301" s="5"/>
      <c r="I301" s="8" t="s">
        <v>1897</v>
      </c>
      <c r="J301" s="13" t="s">
        <v>1898</v>
      </c>
      <c r="K301" s="8" t="s">
        <v>303</v>
      </c>
      <c r="L301" s="5" t="s">
        <v>233</v>
      </c>
      <c r="M301" s="8" t="s">
        <v>367</v>
      </c>
      <c r="N301" s="8" t="s">
        <v>256</v>
      </c>
      <c r="O301" s="8" t="s">
        <v>223</v>
      </c>
      <c r="P301" s="5">
        <v>3</v>
      </c>
      <c r="Q301" s="5" t="s">
        <v>67</v>
      </c>
      <c r="R301" s="5"/>
      <c r="S301" s="5" t="s">
        <v>1899</v>
      </c>
      <c r="T301" s="5">
        <v>3</v>
      </c>
      <c r="U301" s="5">
        <v>3</v>
      </c>
      <c r="V301" s="5">
        <v>2</v>
      </c>
      <c r="W301" s="5">
        <v>1</v>
      </c>
      <c r="X301" s="16">
        <f>Lit_rev_final[[#This Row],[Foundationality_1_5]]*0.35+Lit_rev_final[[#This Row],[Topic_Fit_1_5]]*0.35+Lit_rev_final[[#This Row],[Outlet_Quality_1_5]]*0.2+(0.1*Lit_rev_final[[#This Row],[Bridge_Value_0_3]]/3*5)</f>
        <v>2.6666666666666661</v>
      </c>
      <c r="Y301" s="10" t="s">
        <v>1338</v>
      </c>
      <c r="Z301" s="5" t="s">
        <v>156</v>
      </c>
      <c r="AA301" s="5" t="s">
        <v>46</v>
      </c>
      <c r="AB301" s="5" t="s">
        <v>46</v>
      </c>
      <c r="AC301" s="16" t="s">
        <v>1900</v>
      </c>
      <c r="AJ301" s="2"/>
    </row>
    <row r="302" spans="1:36" ht="30" customHeight="1" x14ac:dyDescent="0.15">
      <c r="A302" s="5" t="s">
        <v>156</v>
      </c>
      <c r="B302" s="8" t="s">
        <v>1901</v>
      </c>
      <c r="C302" s="8" t="s">
        <v>1902</v>
      </c>
      <c r="D302" s="8" t="s">
        <v>597</v>
      </c>
      <c r="E302" s="8" t="s">
        <v>152</v>
      </c>
      <c r="F302" s="5">
        <v>2018</v>
      </c>
      <c r="G302" s="5"/>
      <c r="H302" s="5"/>
      <c r="I302" s="8" t="s">
        <v>1903</v>
      </c>
      <c r="J302" s="13" t="s">
        <v>1904</v>
      </c>
      <c r="K302" s="8" t="s">
        <v>232</v>
      </c>
      <c r="L302" s="5" t="s">
        <v>233</v>
      </c>
      <c r="M302" s="8" t="s">
        <v>234</v>
      </c>
      <c r="N302" s="8" t="s">
        <v>256</v>
      </c>
      <c r="O302" s="8" t="s">
        <v>223</v>
      </c>
      <c r="P302" s="5">
        <v>3</v>
      </c>
      <c r="Q302" s="5"/>
      <c r="R302" s="5"/>
      <c r="S302" s="5"/>
      <c r="T302" s="5">
        <v>3</v>
      </c>
      <c r="U302" s="5">
        <v>3</v>
      </c>
      <c r="V302" s="5">
        <v>2</v>
      </c>
      <c r="W302" s="5">
        <v>1</v>
      </c>
      <c r="X302" s="16">
        <f>Lit_rev_final[[#This Row],[Foundationality_1_5]]*0.35+Lit_rev_final[[#This Row],[Topic_Fit_1_5]]*0.35+Lit_rev_final[[#This Row],[Outlet_Quality_1_5]]*0.2+(0.1*Lit_rev_final[[#This Row],[Bridge_Value_0_3]]/3*5)</f>
        <v>2.6666666666666661</v>
      </c>
      <c r="Y302" s="10" t="s">
        <v>566</v>
      </c>
      <c r="Z302" s="5" t="s">
        <v>156</v>
      </c>
      <c r="AA302" s="5" t="s">
        <v>46</v>
      </c>
      <c r="AB302" s="5" t="s">
        <v>46</v>
      </c>
      <c r="AC302" s="16" t="s">
        <v>1905</v>
      </c>
      <c r="AJ302" s="2"/>
    </row>
    <row r="303" spans="1:36" ht="30" customHeight="1" x14ac:dyDescent="0.15">
      <c r="A303" s="5" t="s">
        <v>156</v>
      </c>
      <c r="B303" s="8" t="s">
        <v>1906</v>
      </c>
      <c r="C303" s="8" t="s">
        <v>1907</v>
      </c>
      <c r="D303" s="8" t="s">
        <v>1447</v>
      </c>
      <c r="E303" s="8" t="s">
        <v>1448</v>
      </c>
      <c r="F303" s="5">
        <v>2025</v>
      </c>
      <c r="G303" s="5">
        <v>214</v>
      </c>
      <c r="H303" s="5">
        <v>222</v>
      </c>
      <c r="I303" s="8" t="s">
        <v>1908</v>
      </c>
      <c r="J303" s="13" t="s">
        <v>1909</v>
      </c>
      <c r="K303" s="8" t="s">
        <v>232</v>
      </c>
      <c r="L303" s="5" t="s">
        <v>233</v>
      </c>
      <c r="M303" s="8" t="s">
        <v>234</v>
      </c>
      <c r="N303" s="8" t="s">
        <v>256</v>
      </c>
      <c r="O303" s="8" t="s">
        <v>223</v>
      </c>
      <c r="P303" s="5">
        <v>3</v>
      </c>
      <c r="Q303" s="5"/>
      <c r="R303" s="5"/>
      <c r="S303" s="5"/>
      <c r="T303" s="5">
        <v>3</v>
      </c>
      <c r="U303" s="5">
        <v>3</v>
      </c>
      <c r="V303" s="5">
        <v>2</v>
      </c>
      <c r="W303" s="5">
        <v>1</v>
      </c>
      <c r="X303" s="16">
        <f>Lit_rev_final[[#This Row],[Foundationality_1_5]]*0.35+Lit_rev_final[[#This Row],[Topic_Fit_1_5]]*0.35+Lit_rev_final[[#This Row],[Outlet_Quality_1_5]]*0.2+(0.1*Lit_rev_final[[#This Row],[Bridge_Value_0_3]]/3*5)</f>
        <v>2.6666666666666661</v>
      </c>
      <c r="Y303" s="10" t="s">
        <v>566</v>
      </c>
      <c r="Z303" s="5" t="s">
        <v>156</v>
      </c>
      <c r="AA303" s="5" t="s">
        <v>46</v>
      </c>
      <c r="AB303" s="5" t="s">
        <v>46</v>
      </c>
      <c r="AC303" s="16" t="s">
        <v>1910</v>
      </c>
      <c r="AJ303" s="2"/>
    </row>
    <row r="304" spans="1:36" ht="30" customHeight="1" x14ac:dyDescent="0.15">
      <c r="A304" s="5" t="s">
        <v>156</v>
      </c>
      <c r="B304" s="8" t="s">
        <v>1911</v>
      </c>
      <c r="C304" s="8" t="s">
        <v>1912</v>
      </c>
      <c r="D304" s="8" t="s">
        <v>1913</v>
      </c>
      <c r="E304" s="8" t="s">
        <v>374</v>
      </c>
      <c r="F304" s="5">
        <v>2025</v>
      </c>
      <c r="G304" s="5"/>
      <c r="H304" s="5"/>
      <c r="I304" s="8" t="s">
        <v>1914</v>
      </c>
      <c r="J304" s="13" t="s">
        <v>1915</v>
      </c>
      <c r="K304" s="8" t="s">
        <v>377</v>
      </c>
      <c r="L304" s="5" t="s">
        <v>233</v>
      </c>
      <c r="M304" s="8" t="s">
        <v>46</v>
      </c>
      <c r="N304" s="8" t="s">
        <v>256</v>
      </c>
      <c r="O304" s="8" t="s">
        <v>120</v>
      </c>
      <c r="P304" s="5">
        <v>3</v>
      </c>
      <c r="Q304" s="5"/>
      <c r="R304" s="5"/>
      <c r="S304" s="5"/>
      <c r="T304" s="5">
        <v>3</v>
      </c>
      <c r="U304" s="5">
        <v>3</v>
      </c>
      <c r="V304" s="5">
        <v>2</v>
      </c>
      <c r="W304" s="5">
        <v>1</v>
      </c>
      <c r="X304" s="16">
        <f>Lit_rev_final[[#This Row],[Foundationality_1_5]]*0.35+Lit_rev_final[[#This Row],[Topic_Fit_1_5]]*0.35+Lit_rev_final[[#This Row],[Outlet_Quality_1_5]]*0.2+(0.1*Lit_rev_final[[#This Row],[Bridge_Value_0_3]]/3*5)</f>
        <v>2.6666666666666661</v>
      </c>
      <c r="Y304" s="10" t="s">
        <v>877</v>
      </c>
      <c r="Z304" s="5" t="s">
        <v>156</v>
      </c>
      <c r="AA304" s="5" t="s">
        <v>46</v>
      </c>
      <c r="AB304" s="5" t="s">
        <v>46</v>
      </c>
      <c r="AC304" s="16" t="s">
        <v>1916</v>
      </c>
      <c r="AJ304" s="2"/>
    </row>
    <row r="305" spans="1:36" ht="30" customHeight="1" x14ac:dyDescent="0.15">
      <c r="A305" s="5" t="s">
        <v>156</v>
      </c>
      <c r="B305" s="8" t="s">
        <v>1917</v>
      </c>
      <c r="C305" s="8" t="s">
        <v>1918</v>
      </c>
      <c r="D305" s="8" t="s">
        <v>1919</v>
      </c>
      <c r="E305" s="8" t="s">
        <v>1920</v>
      </c>
      <c r="F305" s="5">
        <v>2019</v>
      </c>
      <c r="G305" s="5">
        <v>444</v>
      </c>
      <c r="H305" s="5">
        <v>450</v>
      </c>
      <c r="I305" s="8"/>
      <c r="J305" s="13"/>
      <c r="K305" s="8" t="s">
        <v>232</v>
      </c>
      <c r="L305" s="5" t="s">
        <v>233</v>
      </c>
      <c r="M305" s="8" t="s">
        <v>392</v>
      </c>
      <c r="N305" s="8" t="s">
        <v>256</v>
      </c>
      <c r="O305" s="8" t="s">
        <v>223</v>
      </c>
      <c r="P305" s="5">
        <v>3</v>
      </c>
      <c r="Q305" s="5"/>
      <c r="R305" s="5"/>
      <c r="S305" s="5"/>
      <c r="T305" s="5">
        <v>3</v>
      </c>
      <c r="U305" s="5">
        <v>3</v>
      </c>
      <c r="V305" s="5">
        <v>2</v>
      </c>
      <c r="W305" s="5">
        <v>1</v>
      </c>
      <c r="X305" s="16">
        <f>Lit_rev_final[[#This Row],[Foundationality_1_5]]*0.35+Lit_rev_final[[#This Row],[Topic_Fit_1_5]]*0.35+Lit_rev_final[[#This Row],[Outlet_Quality_1_5]]*0.2+(0.1*Lit_rev_final[[#This Row],[Bridge_Value_0_3]]/3*5)</f>
        <v>2.6666666666666661</v>
      </c>
      <c r="Y305" s="10" t="s">
        <v>626</v>
      </c>
      <c r="Z305" s="5" t="s">
        <v>156</v>
      </c>
      <c r="AA305" s="5" t="s">
        <v>46</v>
      </c>
      <c r="AB305" s="5" t="s">
        <v>46</v>
      </c>
      <c r="AC305" s="16" t="s">
        <v>1921</v>
      </c>
      <c r="AJ305" s="2"/>
    </row>
    <row r="306" spans="1:36" ht="30" customHeight="1" x14ac:dyDescent="0.15">
      <c r="A306" s="5" t="s">
        <v>156</v>
      </c>
      <c r="B306" s="8" t="s">
        <v>1922</v>
      </c>
      <c r="C306" s="8" t="s">
        <v>1923</v>
      </c>
      <c r="D306" s="8" t="s">
        <v>1924</v>
      </c>
      <c r="E306" s="8" t="s">
        <v>764</v>
      </c>
      <c r="F306" s="5">
        <v>2025</v>
      </c>
      <c r="G306" s="5">
        <v>4191</v>
      </c>
      <c r="H306" s="5">
        <v>4203</v>
      </c>
      <c r="I306" s="8" t="s">
        <v>1925</v>
      </c>
      <c r="J306" s="13" t="s">
        <v>1926</v>
      </c>
      <c r="K306" s="8" t="s">
        <v>232</v>
      </c>
      <c r="L306" s="5" t="s">
        <v>233</v>
      </c>
      <c r="M306" s="8" t="s">
        <v>234</v>
      </c>
      <c r="N306" s="8" t="s">
        <v>256</v>
      </c>
      <c r="O306" s="8" t="s">
        <v>223</v>
      </c>
      <c r="P306" s="5">
        <v>3</v>
      </c>
      <c r="Q306" s="5"/>
      <c r="R306" s="5"/>
      <c r="S306" s="5"/>
      <c r="T306" s="5">
        <v>3</v>
      </c>
      <c r="U306" s="5">
        <v>3</v>
      </c>
      <c r="V306" s="5">
        <v>2</v>
      </c>
      <c r="W306" s="5">
        <v>1</v>
      </c>
      <c r="X306" s="16">
        <f>Lit_rev_final[[#This Row],[Foundationality_1_5]]*0.35+Lit_rev_final[[#This Row],[Topic_Fit_1_5]]*0.35+Lit_rev_final[[#This Row],[Outlet_Quality_1_5]]*0.2+(0.1*Lit_rev_final[[#This Row],[Bridge_Value_0_3]]/3*5)</f>
        <v>2.6666666666666661</v>
      </c>
      <c r="Y306" s="10" t="s">
        <v>626</v>
      </c>
      <c r="Z306" s="5" t="s">
        <v>156</v>
      </c>
      <c r="AA306" s="5" t="s">
        <v>46</v>
      </c>
      <c r="AB306" s="5" t="s">
        <v>46</v>
      </c>
      <c r="AC306" s="16" t="s">
        <v>1927</v>
      </c>
      <c r="AJ306" s="2"/>
    </row>
    <row r="307" spans="1:36" ht="30" customHeight="1" x14ac:dyDescent="0.15">
      <c r="A307" s="5" t="s">
        <v>156</v>
      </c>
      <c r="B307" s="8" t="s">
        <v>1928</v>
      </c>
      <c r="C307" s="8" t="s">
        <v>1929</v>
      </c>
      <c r="D307" s="8" t="s">
        <v>1930</v>
      </c>
      <c r="E307" s="8" t="s">
        <v>1931</v>
      </c>
      <c r="F307" s="5">
        <v>2018</v>
      </c>
      <c r="G307" s="5">
        <v>1685</v>
      </c>
      <c r="H307" s="5">
        <v>1688</v>
      </c>
      <c r="I307" s="8" t="s">
        <v>1932</v>
      </c>
      <c r="J307" s="13" t="s">
        <v>1933</v>
      </c>
      <c r="K307" s="8" t="s">
        <v>232</v>
      </c>
      <c r="L307" s="5" t="s">
        <v>1219</v>
      </c>
      <c r="M307" s="8" t="s">
        <v>392</v>
      </c>
      <c r="N307" s="8" t="s">
        <v>256</v>
      </c>
      <c r="O307" s="8" t="s">
        <v>223</v>
      </c>
      <c r="P307" s="5">
        <v>3</v>
      </c>
      <c r="Q307" s="5"/>
      <c r="R307" s="5"/>
      <c r="S307" s="5"/>
      <c r="T307" s="5">
        <v>3</v>
      </c>
      <c r="U307" s="5">
        <v>3</v>
      </c>
      <c r="V307" s="5">
        <v>2</v>
      </c>
      <c r="W307" s="5">
        <v>1</v>
      </c>
      <c r="X307" s="16">
        <f>Lit_rev_final[[#This Row],[Foundationality_1_5]]*0.35+Lit_rev_final[[#This Row],[Topic_Fit_1_5]]*0.35+Lit_rev_final[[#This Row],[Outlet_Quality_1_5]]*0.2+(0.1*Lit_rev_final[[#This Row],[Bridge_Value_0_3]]/3*5)</f>
        <v>2.6666666666666661</v>
      </c>
      <c r="Y307" s="10" t="s">
        <v>626</v>
      </c>
      <c r="Z307" s="5" t="s">
        <v>156</v>
      </c>
      <c r="AA307" s="5" t="s">
        <v>46</v>
      </c>
      <c r="AB307" s="5" t="s">
        <v>46</v>
      </c>
      <c r="AC307" s="16" t="s">
        <v>1934</v>
      </c>
      <c r="AJ307" s="2"/>
    </row>
    <row r="308" spans="1:36" ht="30" customHeight="1" x14ac:dyDescent="0.15">
      <c r="A308" s="5" t="s">
        <v>156</v>
      </c>
      <c r="B308" s="8" t="s">
        <v>1935</v>
      </c>
      <c r="C308" s="8" t="s">
        <v>1936</v>
      </c>
      <c r="D308" s="8" t="s">
        <v>1937</v>
      </c>
      <c r="E308" s="8" t="s">
        <v>1938</v>
      </c>
      <c r="F308" s="5">
        <v>2024</v>
      </c>
      <c r="G308" s="5"/>
      <c r="H308" s="5"/>
      <c r="I308" s="8" t="s">
        <v>1939</v>
      </c>
      <c r="J308" s="13" t="s">
        <v>1940</v>
      </c>
      <c r="K308" s="8" t="s">
        <v>303</v>
      </c>
      <c r="L308" s="5" t="s">
        <v>233</v>
      </c>
      <c r="M308" s="8" t="s">
        <v>234</v>
      </c>
      <c r="N308" s="8" t="s">
        <v>256</v>
      </c>
      <c r="O308" s="8" t="s">
        <v>223</v>
      </c>
      <c r="P308" s="5">
        <v>3</v>
      </c>
      <c r="Q308" s="5"/>
      <c r="R308" s="5"/>
      <c r="S308" s="5"/>
      <c r="T308" s="5">
        <v>3</v>
      </c>
      <c r="U308" s="5">
        <v>3</v>
      </c>
      <c r="V308" s="5">
        <v>2</v>
      </c>
      <c r="W308" s="5">
        <v>1</v>
      </c>
      <c r="X308" s="16">
        <f>Lit_rev_final[[#This Row],[Foundationality_1_5]]*0.35+Lit_rev_final[[#This Row],[Topic_Fit_1_5]]*0.35+Lit_rev_final[[#This Row],[Outlet_Quality_1_5]]*0.2+(0.1*Lit_rev_final[[#This Row],[Bridge_Value_0_3]]/3*5)</f>
        <v>2.6666666666666661</v>
      </c>
      <c r="Y308" s="10" t="s">
        <v>702</v>
      </c>
      <c r="Z308" s="5" t="s">
        <v>156</v>
      </c>
      <c r="AA308" s="5" t="s">
        <v>46</v>
      </c>
      <c r="AB308" s="5" t="s">
        <v>46</v>
      </c>
      <c r="AC308" s="16" t="s">
        <v>1941</v>
      </c>
      <c r="AJ308" s="2"/>
    </row>
    <row r="309" spans="1:36" ht="30" customHeight="1" x14ac:dyDescent="0.15">
      <c r="A309" s="5" t="s">
        <v>156</v>
      </c>
      <c r="B309" s="8" t="s">
        <v>1942</v>
      </c>
      <c r="C309" s="8" t="s">
        <v>1732</v>
      </c>
      <c r="D309" s="8" t="s">
        <v>1943</v>
      </c>
      <c r="E309" s="8" t="s">
        <v>764</v>
      </c>
      <c r="F309" s="5">
        <v>2025</v>
      </c>
      <c r="G309" s="5"/>
      <c r="H309" s="5"/>
      <c r="I309" s="8" t="s">
        <v>1944</v>
      </c>
      <c r="J309" s="13" t="s">
        <v>1945</v>
      </c>
      <c r="K309" s="8" t="s">
        <v>232</v>
      </c>
      <c r="L309" s="5" t="s">
        <v>233</v>
      </c>
      <c r="M309" s="8" t="s">
        <v>1337</v>
      </c>
      <c r="N309" s="8" t="s">
        <v>256</v>
      </c>
      <c r="O309" s="8" t="s">
        <v>223</v>
      </c>
      <c r="P309" s="5">
        <v>3</v>
      </c>
      <c r="Q309" s="5"/>
      <c r="R309" s="5"/>
      <c r="S309" s="5"/>
      <c r="T309" s="5">
        <v>3</v>
      </c>
      <c r="U309" s="5">
        <v>3</v>
      </c>
      <c r="V309" s="5">
        <v>2</v>
      </c>
      <c r="W309" s="5">
        <v>1</v>
      </c>
      <c r="X309" s="16">
        <f>Lit_rev_final[[#This Row],[Foundationality_1_5]]*0.35+Lit_rev_final[[#This Row],[Topic_Fit_1_5]]*0.35+Lit_rev_final[[#This Row],[Outlet_Quality_1_5]]*0.2+(0.1*Lit_rev_final[[#This Row],[Bridge_Value_0_3]]/3*5)</f>
        <v>2.6666666666666661</v>
      </c>
      <c r="Y309" s="10" t="s">
        <v>566</v>
      </c>
      <c r="Z309" s="5" t="s">
        <v>156</v>
      </c>
      <c r="AA309" s="5" t="s">
        <v>46</v>
      </c>
      <c r="AB309" s="5" t="s">
        <v>46</v>
      </c>
      <c r="AC309" s="16" t="s">
        <v>1946</v>
      </c>
      <c r="AJ309" s="2"/>
    </row>
    <row r="310" spans="1:36" ht="30" customHeight="1" x14ac:dyDescent="0.15">
      <c r="A310" s="5" t="s">
        <v>156</v>
      </c>
      <c r="B310" s="8" t="s">
        <v>1947</v>
      </c>
      <c r="C310" s="8" t="s">
        <v>1948</v>
      </c>
      <c r="D310" s="8" t="s">
        <v>1949</v>
      </c>
      <c r="E310" s="8" t="s">
        <v>1950</v>
      </c>
      <c r="F310" s="5">
        <v>2025</v>
      </c>
      <c r="G310" s="5"/>
      <c r="H310" s="5"/>
      <c r="I310" s="8" t="s">
        <v>1951</v>
      </c>
      <c r="J310" s="13" t="s">
        <v>1952</v>
      </c>
      <c r="K310" s="8" t="s">
        <v>303</v>
      </c>
      <c r="L310" s="5" t="s">
        <v>233</v>
      </c>
      <c r="M310" s="8" t="s">
        <v>234</v>
      </c>
      <c r="N310" s="8" t="s">
        <v>256</v>
      </c>
      <c r="O310" s="8" t="s">
        <v>223</v>
      </c>
      <c r="P310" s="5">
        <v>3</v>
      </c>
      <c r="Q310" s="5"/>
      <c r="R310" s="5"/>
      <c r="S310" s="5"/>
      <c r="T310" s="5">
        <v>3</v>
      </c>
      <c r="U310" s="5">
        <v>3</v>
      </c>
      <c r="V310" s="5">
        <v>2</v>
      </c>
      <c r="W310" s="5">
        <v>1</v>
      </c>
      <c r="X310" s="16">
        <f>Lit_rev_final[[#This Row],[Foundationality_1_5]]*0.35+Lit_rev_final[[#This Row],[Topic_Fit_1_5]]*0.35+Lit_rev_final[[#This Row],[Outlet_Quality_1_5]]*0.2+(0.1*Lit_rev_final[[#This Row],[Bridge_Value_0_3]]/3*5)</f>
        <v>2.6666666666666661</v>
      </c>
      <c r="Y310" s="10" t="s">
        <v>566</v>
      </c>
      <c r="Z310" s="5" t="s">
        <v>156</v>
      </c>
      <c r="AA310" s="5" t="s">
        <v>46</v>
      </c>
      <c r="AB310" s="5" t="s">
        <v>46</v>
      </c>
      <c r="AC310" s="16" t="s">
        <v>1953</v>
      </c>
      <c r="AJ310" s="2"/>
    </row>
    <row r="311" spans="1:36" ht="30" customHeight="1" x14ac:dyDescent="0.15">
      <c r="A311" s="5" t="s">
        <v>156</v>
      </c>
      <c r="B311" s="8" t="s">
        <v>1954</v>
      </c>
      <c r="C311" s="8" t="s">
        <v>1955</v>
      </c>
      <c r="D311" s="8" t="s">
        <v>1956</v>
      </c>
      <c r="E311" s="8" t="s">
        <v>404</v>
      </c>
      <c r="F311" s="5">
        <v>2016</v>
      </c>
      <c r="G311" s="5"/>
      <c r="H311" s="5"/>
      <c r="I311" s="8" t="s">
        <v>1957</v>
      </c>
      <c r="J311" s="13" t="s">
        <v>1958</v>
      </c>
      <c r="K311" s="8" t="s">
        <v>303</v>
      </c>
      <c r="L311" s="5" t="s">
        <v>233</v>
      </c>
      <c r="M311" s="8" t="s">
        <v>367</v>
      </c>
      <c r="N311" s="8" t="s">
        <v>256</v>
      </c>
      <c r="O311" s="8" t="s">
        <v>223</v>
      </c>
      <c r="P311" s="5">
        <v>3</v>
      </c>
      <c r="Q311" s="5"/>
      <c r="R311" s="5"/>
      <c r="S311" s="5"/>
      <c r="T311" s="5">
        <v>3</v>
      </c>
      <c r="U311" s="5">
        <v>3</v>
      </c>
      <c r="V311" s="5">
        <v>2</v>
      </c>
      <c r="W311" s="5">
        <v>1</v>
      </c>
      <c r="X311" s="16">
        <f>Lit_rev_final[[#This Row],[Foundationality_1_5]]*0.35+Lit_rev_final[[#This Row],[Topic_Fit_1_5]]*0.35+Lit_rev_final[[#This Row],[Outlet_Quality_1_5]]*0.2+(0.1*Lit_rev_final[[#This Row],[Bridge_Value_0_3]]/3*5)</f>
        <v>2.6666666666666661</v>
      </c>
      <c r="Y311" s="10" t="s">
        <v>566</v>
      </c>
      <c r="Z311" s="5" t="s">
        <v>156</v>
      </c>
      <c r="AA311" s="5" t="s">
        <v>46</v>
      </c>
      <c r="AB311" s="5" t="s">
        <v>46</v>
      </c>
      <c r="AC311" s="16" t="s">
        <v>1959</v>
      </c>
      <c r="AJ311" s="2"/>
    </row>
    <row r="312" spans="1:36" ht="30" customHeight="1" x14ac:dyDescent="0.15">
      <c r="A312" s="5" t="s">
        <v>156</v>
      </c>
      <c r="B312" s="8" t="s">
        <v>1960</v>
      </c>
      <c r="C312" s="8" t="s">
        <v>1961</v>
      </c>
      <c r="D312" s="8" t="s">
        <v>1962</v>
      </c>
      <c r="E312" s="8" t="s">
        <v>1963</v>
      </c>
      <c r="F312" s="5">
        <v>2024</v>
      </c>
      <c r="G312" s="5">
        <v>139</v>
      </c>
      <c r="H312" s="5">
        <v>157</v>
      </c>
      <c r="I312" s="8" t="s">
        <v>1964</v>
      </c>
      <c r="J312" s="13" t="s">
        <v>1965</v>
      </c>
      <c r="K312" s="8" t="s">
        <v>232</v>
      </c>
      <c r="L312" s="5" t="s">
        <v>233</v>
      </c>
      <c r="M312" s="8" t="s">
        <v>392</v>
      </c>
      <c r="N312" s="8" t="s">
        <v>256</v>
      </c>
      <c r="O312" s="8" t="s">
        <v>120</v>
      </c>
      <c r="P312" s="5">
        <v>3</v>
      </c>
      <c r="Q312" s="5"/>
      <c r="R312" s="5"/>
      <c r="S312" s="5"/>
      <c r="T312" s="5">
        <v>3</v>
      </c>
      <c r="U312" s="5">
        <v>3</v>
      </c>
      <c r="V312" s="5">
        <v>2</v>
      </c>
      <c r="W312" s="5">
        <v>1</v>
      </c>
      <c r="X312" s="16">
        <f>Lit_rev_final[[#This Row],[Foundationality_1_5]]*0.35+Lit_rev_final[[#This Row],[Topic_Fit_1_5]]*0.35+Lit_rev_final[[#This Row],[Outlet_Quality_1_5]]*0.2+(0.1*Lit_rev_final[[#This Row],[Bridge_Value_0_3]]/3*5)</f>
        <v>2.6666666666666661</v>
      </c>
      <c r="Y312" s="10" t="s">
        <v>1966</v>
      </c>
      <c r="Z312" s="5" t="s">
        <v>156</v>
      </c>
      <c r="AA312" s="5" t="s">
        <v>46</v>
      </c>
      <c r="AB312" s="5" t="s">
        <v>46</v>
      </c>
      <c r="AC312" s="16" t="s">
        <v>1967</v>
      </c>
      <c r="AJ312" s="2"/>
    </row>
    <row r="313" spans="1:36" ht="30" customHeight="1" x14ac:dyDescent="0.15">
      <c r="A313" s="5" t="s">
        <v>156</v>
      </c>
      <c r="B313" s="8" t="s">
        <v>1968</v>
      </c>
      <c r="C313" s="8" t="s">
        <v>1969</v>
      </c>
      <c r="D313" s="8" t="s">
        <v>1366</v>
      </c>
      <c r="E313" s="8" t="s">
        <v>253</v>
      </c>
      <c r="F313" s="5">
        <v>2023</v>
      </c>
      <c r="G313" s="5">
        <v>815</v>
      </c>
      <c r="H313" s="5">
        <v>832</v>
      </c>
      <c r="I313" s="8" t="s">
        <v>1970</v>
      </c>
      <c r="J313" s="13" t="s">
        <v>1971</v>
      </c>
      <c r="K313" s="8" t="s">
        <v>232</v>
      </c>
      <c r="L313" s="5" t="s">
        <v>233</v>
      </c>
      <c r="M313" s="8" t="s">
        <v>234</v>
      </c>
      <c r="N313" s="8" t="s">
        <v>256</v>
      </c>
      <c r="O313" s="8" t="s">
        <v>223</v>
      </c>
      <c r="P313" s="5">
        <v>3</v>
      </c>
      <c r="Q313" s="5"/>
      <c r="R313" s="5"/>
      <c r="S313" s="5"/>
      <c r="T313" s="5">
        <v>3</v>
      </c>
      <c r="U313" s="5">
        <v>3</v>
      </c>
      <c r="V313" s="5">
        <v>2</v>
      </c>
      <c r="W313" s="5">
        <v>1</v>
      </c>
      <c r="X313" s="16">
        <f>Lit_rev_final[[#This Row],[Foundationality_1_5]]*0.35+Lit_rev_final[[#This Row],[Topic_Fit_1_5]]*0.35+Lit_rev_final[[#This Row],[Outlet_Quality_1_5]]*0.2+(0.1*Lit_rev_final[[#This Row],[Bridge_Value_0_3]]/3*5)</f>
        <v>2.6666666666666661</v>
      </c>
      <c r="Y313" s="10" t="s">
        <v>626</v>
      </c>
      <c r="Z313" s="5" t="s">
        <v>156</v>
      </c>
      <c r="AA313" s="5" t="s">
        <v>46</v>
      </c>
      <c r="AB313" s="5" t="s">
        <v>46</v>
      </c>
      <c r="AC313" s="16" t="s">
        <v>1972</v>
      </c>
      <c r="AJ313" s="2"/>
    </row>
    <row r="314" spans="1:36" ht="30" customHeight="1" x14ac:dyDescent="0.15">
      <c r="A314" s="5" t="s">
        <v>156</v>
      </c>
      <c r="B314" s="8" t="s">
        <v>1973</v>
      </c>
      <c r="C314" s="8" t="s">
        <v>1974</v>
      </c>
      <c r="D314" s="8" t="s">
        <v>1975</v>
      </c>
      <c r="E314" s="8" t="s">
        <v>152</v>
      </c>
      <c r="F314" s="5">
        <v>2025</v>
      </c>
      <c r="G314" s="5"/>
      <c r="H314" s="5"/>
      <c r="I314" s="8" t="s">
        <v>1976</v>
      </c>
      <c r="J314" s="13" t="s">
        <v>1977</v>
      </c>
      <c r="K314" s="8" t="s">
        <v>232</v>
      </c>
      <c r="L314" s="5" t="s">
        <v>233</v>
      </c>
      <c r="M314" s="8" t="s">
        <v>234</v>
      </c>
      <c r="N314" s="8" t="s">
        <v>256</v>
      </c>
      <c r="O314" s="8" t="s">
        <v>223</v>
      </c>
      <c r="P314" s="5">
        <v>3</v>
      </c>
      <c r="Q314" s="5"/>
      <c r="R314" s="5"/>
      <c r="S314" s="5"/>
      <c r="T314" s="5">
        <v>3</v>
      </c>
      <c r="U314" s="5">
        <v>3</v>
      </c>
      <c r="V314" s="5">
        <v>2</v>
      </c>
      <c r="W314" s="5">
        <v>1</v>
      </c>
      <c r="X314" s="16">
        <f>Lit_rev_final[[#This Row],[Foundationality_1_5]]*0.35+Lit_rev_final[[#This Row],[Topic_Fit_1_5]]*0.35+Lit_rev_final[[#This Row],[Outlet_Quality_1_5]]*0.2+(0.1*Lit_rev_final[[#This Row],[Bridge_Value_0_3]]/3*5)</f>
        <v>2.6666666666666661</v>
      </c>
      <c r="Y314" s="10" t="s">
        <v>702</v>
      </c>
      <c r="Z314" s="5" t="s">
        <v>156</v>
      </c>
      <c r="AA314" s="5" t="s">
        <v>46</v>
      </c>
      <c r="AB314" s="5" t="s">
        <v>46</v>
      </c>
      <c r="AC314" s="16" t="s">
        <v>1978</v>
      </c>
      <c r="AJ314" s="2"/>
    </row>
    <row r="315" spans="1:36" ht="30" customHeight="1" x14ac:dyDescent="0.15">
      <c r="A315" s="5" t="s">
        <v>156</v>
      </c>
      <c r="B315" s="8" t="s">
        <v>1979</v>
      </c>
      <c r="C315" s="8" t="s">
        <v>1980</v>
      </c>
      <c r="D315" s="8" t="s">
        <v>1981</v>
      </c>
      <c r="E315" s="8"/>
      <c r="F315" s="5">
        <v>2025</v>
      </c>
      <c r="G315" s="5"/>
      <c r="H315" s="5"/>
      <c r="I315" s="8" t="s">
        <v>1982</v>
      </c>
      <c r="J315" s="13" t="s">
        <v>1983</v>
      </c>
      <c r="K315" s="8" t="s">
        <v>580</v>
      </c>
      <c r="L315" s="5" t="s">
        <v>233</v>
      </c>
      <c r="M315" s="8" t="s">
        <v>46</v>
      </c>
      <c r="N315" s="8" t="s">
        <v>256</v>
      </c>
      <c r="O315" s="8" t="s">
        <v>120</v>
      </c>
      <c r="P315" s="5">
        <v>3</v>
      </c>
      <c r="Q315" s="5"/>
      <c r="R315" s="5"/>
      <c r="S315" s="5"/>
      <c r="T315" s="5">
        <v>3</v>
      </c>
      <c r="U315" s="5">
        <v>3</v>
      </c>
      <c r="V315" s="5">
        <v>2</v>
      </c>
      <c r="W315" s="5">
        <v>1</v>
      </c>
      <c r="X315" s="16">
        <f>Lit_rev_final[[#This Row],[Foundationality_1_5]]*0.35+Lit_rev_final[[#This Row],[Topic_Fit_1_5]]*0.35+Lit_rev_final[[#This Row],[Outlet_Quality_1_5]]*0.2+(0.1*Lit_rev_final[[#This Row],[Bridge_Value_0_3]]/3*5)</f>
        <v>2.6666666666666661</v>
      </c>
      <c r="Y315" s="10" t="s">
        <v>581</v>
      </c>
      <c r="Z315" s="5" t="s">
        <v>156</v>
      </c>
      <c r="AA315" s="5" t="s">
        <v>46</v>
      </c>
      <c r="AB315" s="5" t="s">
        <v>46</v>
      </c>
      <c r="AC315" s="16" t="s">
        <v>1984</v>
      </c>
      <c r="AJ315" s="2"/>
    </row>
    <row r="316" spans="1:36" ht="30" customHeight="1" x14ac:dyDescent="0.15">
      <c r="A316" s="5" t="s">
        <v>156</v>
      </c>
      <c r="B316" s="8" t="s">
        <v>1985</v>
      </c>
      <c r="C316" s="8" t="s">
        <v>1986</v>
      </c>
      <c r="D316" s="8" t="s">
        <v>1987</v>
      </c>
      <c r="E316" s="8" t="s">
        <v>374</v>
      </c>
      <c r="F316" s="5">
        <v>2024</v>
      </c>
      <c r="G316" s="5"/>
      <c r="H316" s="5"/>
      <c r="I316" s="8" t="s">
        <v>1988</v>
      </c>
      <c r="J316" s="13" t="s">
        <v>1989</v>
      </c>
      <c r="K316" s="8" t="s">
        <v>232</v>
      </c>
      <c r="L316" s="5" t="s">
        <v>233</v>
      </c>
      <c r="M316" s="8" t="s">
        <v>392</v>
      </c>
      <c r="N316" s="8" t="s">
        <v>256</v>
      </c>
      <c r="O316" s="8" t="s">
        <v>120</v>
      </c>
      <c r="P316" s="5">
        <v>3</v>
      </c>
      <c r="Q316" s="5"/>
      <c r="R316" s="5"/>
      <c r="S316" s="5"/>
      <c r="T316" s="5">
        <v>3</v>
      </c>
      <c r="U316" s="5">
        <v>3</v>
      </c>
      <c r="V316" s="5">
        <v>2</v>
      </c>
      <c r="W316" s="5">
        <v>1</v>
      </c>
      <c r="X316" s="16">
        <f>Lit_rev_final[[#This Row],[Foundationality_1_5]]*0.35+Lit_rev_final[[#This Row],[Topic_Fit_1_5]]*0.35+Lit_rev_final[[#This Row],[Outlet_Quality_1_5]]*0.2+(0.1*Lit_rev_final[[#This Row],[Bridge_Value_0_3]]/3*5)</f>
        <v>2.6666666666666661</v>
      </c>
      <c r="Y316" s="10" t="s">
        <v>851</v>
      </c>
      <c r="Z316" s="5" t="s">
        <v>156</v>
      </c>
      <c r="AA316" s="5" t="s">
        <v>46</v>
      </c>
      <c r="AB316" s="5" t="s">
        <v>46</v>
      </c>
      <c r="AC316" s="16" t="s">
        <v>1990</v>
      </c>
      <c r="AJ316" s="2"/>
    </row>
    <row r="317" spans="1:36" ht="30" customHeight="1" x14ac:dyDescent="0.15">
      <c r="A317" s="5" t="s">
        <v>156</v>
      </c>
      <c r="B317" s="8" t="s">
        <v>1991</v>
      </c>
      <c r="C317" s="8" t="s">
        <v>874</v>
      </c>
      <c r="D317" s="8" t="s">
        <v>403</v>
      </c>
      <c r="E317" s="8" t="s">
        <v>404</v>
      </c>
      <c r="F317" s="5">
        <v>2024</v>
      </c>
      <c r="G317" s="5"/>
      <c r="H317" s="5"/>
      <c r="I317" s="8" t="s">
        <v>1992</v>
      </c>
      <c r="J317" s="13" t="s">
        <v>1993</v>
      </c>
      <c r="K317" s="8" t="s">
        <v>303</v>
      </c>
      <c r="L317" s="5" t="s">
        <v>233</v>
      </c>
      <c r="M317" s="8" t="s">
        <v>367</v>
      </c>
      <c r="N317" s="8" t="s">
        <v>256</v>
      </c>
      <c r="O317" s="8" t="s">
        <v>120</v>
      </c>
      <c r="P317" s="5">
        <v>3</v>
      </c>
      <c r="Q317" s="5"/>
      <c r="R317" s="5"/>
      <c r="S317" s="5"/>
      <c r="T317" s="5">
        <v>3</v>
      </c>
      <c r="U317" s="5">
        <v>3</v>
      </c>
      <c r="V317" s="5">
        <v>2</v>
      </c>
      <c r="W317" s="5">
        <v>1</v>
      </c>
      <c r="X317" s="16">
        <f>Lit_rev_final[[#This Row],[Foundationality_1_5]]*0.35+Lit_rev_final[[#This Row],[Topic_Fit_1_5]]*0.35+Lit_rev_final[[#This Row],[Outlet_Quality_1_5]]*0.2+(0.1*Lit_rev_final[[#This Row],[Bridge_Value_0_3]]/3*5)</f>
        <v>2.6666666666666661</v>
      </c>
      <c r="Y317" s="10" t="s">
        <v>877</v>
      </c>
      <c r="Z317" s="5" t="s">
        <v>156</v>
      </c>
      <c r="AA317" s="5" t="s">
        <v>46</v>
      </c>
      <c r="AB317" s="5" t="s">
        <v>46</v>
      </c>
      <c r="AC317" s="16" t="s">
        <v>1994</v>
      </c>
      <c r="AJ317" s="2"/>
    </row>
    <row r="318" spans="1:36" ht="30" customHeight="1" x14ac:dyDescent="0.15">
      <c r="A318" s="5" t="s">
        <v>156</v>
      </c>
      <c r="B318" s="8" t="s">
        <v>1995</v>
      </c>
      <c r="C318" s="8" t="s">
        <v>1996</v>
      </c>
      <c r="D318" s="8" t="s">
        <v>1099</v>
      </c>
      <c r="E318" s="8" t="s">
        <v>374</v>
      </c>
      <c r="F318" s="5">
        <v>2025</v>
      </c>
      <c r="G318" s="5"/>
      <c r="H318" s="5"/>
      <c r="I318" s="8" t="s">
        <v>1997</v>
      </c>
      <c r="J318" s="13" t="s">
        <v>1998</v>
      </c>
      <c r="K318" s="8" t="s">
        <v>377</v>
      </c>
      <c r="L318" s="5" t="s">
        <v>233</v>
      </c>
      <c r="M318" s="8" t="s">
        <v>46</v>
      </c>
      <c r="N318" s="8" t="s">
        <v>256</v>
      </c>
      <c r="O318" s="8" t="s">
        <v>120</v>
      </c>
      <c r="P318" s="5">
        <v>3</v>
      </c>
      <c r="Q318" s="5"/>
      <c r="R318" s="5"/>
      <c r="S318" s="5"/>
      <c r="T318" s="5">
        <v>3</v>
      </c>
      <c r="U318" s="5">
        <v>3</v>
      </c>
      <c r="V318" s="5">
        <v>2</v>
      </c>
      <c r="W318" s="5">
        <v>1</v>
      </c>
      <c r="X318" s="16">
        <f>Lit_rev_final[[#This Row],[Foundationality_1_5]]*0.35+Lit_rev_final[[#This Row],[Topic_Fit_1_5]]*0.35+Lit_rev_final[[#This Row],[Outlet_Quality_1_5]]*0.2+(0.1*Lit_rev_final[[#This Row],[Bridge_Value_0_3]]/3*5)</f>
        <v>2.6666666666666661</v>
      </c>
      <c r="Y318" s="10" t="s">
        <v>581</v>
      </c>
      <c r="Z318" s="5" t="s">
        <v>156</v>
      </c>
      <c r="AA318" s="5" t="s">
        <v>46</v>
      </c>
      <c r="AB318" s="5" t="s">
        <v>46</v>
      </c>
      <c r="AC318" s="16" t="s">
        <v>1999</v>
      </c>
      <c r="AJ318" s="2"/>
    </row>
    <row r="319" spans="1:36" ht="30" customHeight="1" x14ac:dyDescent="0.15">
      <c r="A319" s="5" t="s">
        <v>156</v>
      </c>
      <c r="B319" s="8" t="s">
        <v>2000</v>
      </c>
      <c r="C319" s="8" t="s">
        <v>2001</v>
      </c>
      <c r="D319" s="8" t="s">
        <v>2002</v>
      </c>
      <c r="E319" s="8" t="s">
        <v>2003</v>
      </c>
      <c r="F319" s="5">
        <v>2024</v>
      </c>
      <c r="G319" s="5"/>
      <c r="H319" s="5"/>
      <c r="I319" s="8"/>
      <c r="J319" s="13" t="s">
        <v>2004</v>
      </c>
      <c r="K319" s="8" t="s">
        <v>303</v>
      </c>
      <c r="L319" s="5" t="s">
        <v>233</v>
      </c>
      <c r="M319" s="8" t="s">
        <v>234</v>
      </c>
      <c r="N319" s="8" t="s">
        <v>256</v>
      </c>
      <c r="O319" s="8" t="s">
        <v>223</v>
      </c>
      <c r="P319" s="5">
        <v>3</v>
      </c>
      <c r="Q319" s="5"/>
      <c r="R319" s="5"/>
      <c r="S319" s="5"/>
      <c r="T319" s="5">
        <v>3</v>
      </c>
      <c r="U319" s="5">
        <v>3</v>
      </c>
      <c r="V319" s="5">
        <v>2</v>
      </c>
      <c r="W319" s="5">
        <v>1</v>
      </c>
      <c r="X319" s="16">
        <f>Lit_rev_final[[#This Row],[Foundationality_1_5]]*0.35+Lit_rev_final[[#This Row],[Topic_Fit_1_5]]*0.35+Lit_rev_final[[#This Row],[Outlet_Quality_1_5]]*0.2+(0.1*Lit_rev_final[[#This Row],[Bridge_Value_0_3]]/3*5)</f>
        <v>2.6666666666666661</v>
      </c>
      <c r="Y319" s="10" t="s">
        <v>702</v>
      </c>
      <c r="Z319" s="5" t="s">
        <v>156</v>
      </c>
      <c r="AA319" s="5" t="s">
        <v>46</v>
      </c>
      <c r="AB319" s="5" t="s">
        <v>46</v>
      </c>
      <c r="AC319" s="16" t="s">
        <v>2005</v>
      </c>
      <c r="AJ319" s="2"/>
    </row>
    <row r="320" spans="1:36" ht="30" customHeight="1" x14ac:dyDescent="0.15">
      <c r="A320" s="5" t="s">
        <v>156</v>
      </c>
      <c r="B320" s="8" t="s">
        <v>2006</v>
      </c>
      <c r="C320" s="8" t="s">
        <v>2007</v>
      </c>
      <c r="D320" s="8" t="s">
        <v>2008</v>
      </c>
      <c r="E320" s="8" t="s">
        <v>687</v>
      </c>
      <c r="F320" s="5">
        <v>2023</v>
      </c>
      <c r="G320" s="5">
        <v>798</v>
      </c>
      <c r="H320" s="5">
        <v>815</v>
      </c>
      <c r="I320" s="8" t="s">
        <v>2009</v>
      </c>
      <c r="J320" s="13" t="s">
        <v>2010</v>
      </c>
      <c r="K320" s="8" t="s">
        <v>232</v>
      </c>
      <c r="L320" s="5" t="s">
        <v>233</v>
      </c>
      <c r="M320" s="8" t="s">
        <v>234</v>
      </c>
      <c r="N320" s="8" t="s">
        <v>256</v>
      </c>
      <c r="O320" s="8" t="s">
        <v>223</v>
      </c>
      <c r="P320" s="5">
        <v>3</v>
      </c>
      <c r="Q320" s="5"/>
      <c r="R320" s="5"/>
      <c r="S320" s="5"/>
      <c r="T320" s="5">
        <v>3</v>
      </c>
      <c r="U320" s="5">
        <v>3</v>
      </c>
      <c r="V320" s="5">
        <v>2</v>
      </c>
      <c r="W320" s="5">
        <v>1</v>
      </c>
      <c r="X320" s="16">
        <f>Lit_rev_final[[#This Row],[Foundationality_1_5]]*0.35+Lit_rev_final[[#This Row],[Topic_Fit_1_5]]*0.35+Lit_rev_final[[#This Row],[Outlet_Quality_1_5]]*0.2+(0.1*Lit_rev_final[[#This Row],[Bridge_Value_0_3]]/3*5)</f>
        <v>2.6666666666666661</v>
      </c>
      <c r="Y320" s="10" t="s">
        <v>566</v>
      </c>
      <c r="Z320" s="5" t="s">
        <v>156</v>
      </c>
      <c r="AA320" s="5" t="s">
        <v>46</v>
      </c>
      <c r="AB320" s="5" t="s">
        <v>46</v>
      </c>
      <c r="AC320" s="16" t="s">
        <v>2011</v>
      </c>
      <c r="AJ320" s="2"/>
    </row>
    <row r="321" spans="1:36" ht="30" customHeight="1" x14ac:dyDescent="0.15">
      <c r="A321" s="5" t="s">
        <v>156</v>
      </c>
      <c r="B321" s="8" t="s">
        <v>2012</v>
      </c>
      <c r="C321" s="8" t="s">
        <v>2013</v>
      </c>
      <c r="D321" s="8" t="s">
        <v>2014</v>
      </c>
      <c r="E321" s="8" t="s">
        <v>374</v>
      </c>
      <c r="F321" s="5">
        <v>2025</v>
      </c>
      <c r="G321" s="5"/>
      <c r="H321" s="5"/>
      <c r="I321" s="8" t="s">
        <v>2015</v>
      </c>
      <c r="J321" s="13" t="s">
        <v>2016</v>
      </c>
      <c r="K321" s="8" t="s">
        <v>377</v>
      </c>
      <c r="L321" s="5" t="s">
        <v>233</v>
      </c>
      <c r="M321" s="8" t="s">
        <v>46</v>
      </c>
      <c r="N321" s="8" t="s">
        <v>256</v>
      </c>
      <c r="O321" s="8" t="s">
        <v>120</v>
      </c>
      <c r="P321" s="5">
        <v>3</v>
      </c>
      <c r="Q321" s="5"/>
      <c r="R321" s="5"/>
      <c r="S321" s="5"/>
      <c r="T321" s="5">
        <v>3</v>
      </c>
      <c r="U321" s="5">
        <v>3</v>
      </c>
      <c r="V321" s="5">
        <v>2</v>
      </c>
      <c r="W321" s="5">
        <v>1</v>
      </c>
      <c r="X321" s="16">
        <f>Lit_rev_final[[#This Row],[Foundationality_1_5]]*0.35+Lit_rev_final[[#This Row],[Topic_Fit_1_5]]*0.35+Lit_rev_final[[#This Row],[Outlet_Quality_1_5]]*0.2+(0.1*Lit_rev_final[[#This Row],[Bridge_Value_0_3]]/3*5)</f>
        <v>2.6666666666666661</v>
      </c>
      <c r="Y321" s="10" t="s">
        <v>581</v>
      </c>
      <c r="Z321" s="5" t="s">
        <v>156</v>
      </c>
      <c r="AA321" s="5" t="s">
        <v>46</v>
      </c>
      <c r="AB321" s="5" t="s">
        <v>46</v>
      </c>
      <c r="AC321" s="16" t="s">
        <v>2017</v>
      </c>
      <c r="AJ321" s="2"/>
    </row>
    <row r="322" spans="1:36" ht="30" customHeight="1" x14ac:dyDescent="0.15">
      <c r="A322" s="5" t="s">
        <v>156</v>
      </c>
      <c r="B322" s="8" t="s">
        <v>2018</v>
      </c>
      <c r="C322" s="8" t="s">
        <v>2019</v>
      </c>
      <c r="D322" s="8" t="s">
        <v>1608</v>
      </c>
      <c r="E322" s="8" t="s">
        <v>229</v>
      </c>
      <c r="F322" s="5">
        <v>2024</v>
      </c>
      <c r="G322" s="5"/>
      <c r="H322" s="5"/>
      <c r="I322" s="8" t="s">
        <v>2020</v>
      </c>
      <c r="J322" s="13" t="s">
        <v>2021</v>
      </c>
      <c r="K322" s="8" t="s">
        <v>232</v>
      </c>
      <c r="L322" s="5" t="s">
        <v>233</v>
      </c>
      <c r="M322" s="8" t="s">
        <v>234</v>
      </c>
      <c r="N322" s="8" t="s">
        <v>256</v>
      </c>
      <c r="O322" s="8" t="s">
        <v>223</v>
      </c>
      <c r="P322" s="5">
        <v>3</v>
      </c>
      <c r="Q322" s="5"/>
      <c r="R322" s="5"/>
      <c r="S322" s="5"/>
      <c r="T322" s="5">
        <v>3</v>
      </c>
      <c r="U322" s="5">
        <v>3</v>
      </c>
      <c r="V322" s="5">
        <v>2</v>
      </c>
      <c r="W322" s="5">
        <v>1</v>
      </c>
      <c r="X322" s="16">
        <f>Lit_rev_final[[#This Row],[Foundationality_1_5]]*0.35+Lit_rev_final[[#This Row],[Topic_Fit_1_5]]*0.35+Lit_rev_final[[#This Row],[Outlet_Quality_1_5]]*0.2+(0.1*Lit_rev_final[[#This Row],[Bridge_Value_0_3]]/3*5)</f>
        <v>2.6666666666666661</v>
      </c>
      <c r="Y322" s="10" t="s">
        <v>626</v>
      </c>
      <c r="Z322" s="5" t="s">
        <v>156</v>
      </c>
      <c r="AA322" s="5" t="s">
        <v>46</v>
      </c>
      <c r="AB322" s="5" t="s">
        <v>46</v>
      </c>
      <c r="AC322" s="16" t="s">
        <v>2022</v>
      </c>
      <c r="AJ322" s="2"/>
    </row>
    <row r="323" spans="1:36" ht="30" customHeight="1" x14ac:dyDescent="0.15">
      <c r="A323" s="5" t="s">
        <v>156</v>
      </c>
      <c r="B323" s="8" t="s">
        <v>2023</v>
      </c>
      <c r="C323" s="8" t="s">
        <v>2024</v>
      </c>
      <c r="D323" s="8" t="s">
        <v>2025</v>
      </c>
      <c r="E323" s="8" t="s">
        <v>229</v>
      </c>
      <c r="F323" s="5">
        <v>2019</v>
      </c>
      <c r="G323" s="5"/>
      <c r="H323" s="5"/>
      <c r="I323" s="8" t="s">
        <v>2026</v>
      </c>
      <c r="J323" s="13" t="s">
        <v>2027</v>
      </c>
      <c r="K323" s="8" t="s">
        <v>232</v>
      </c>
      <c r="L323" s="5" t="s">
        <v>233</v>
      </c>
      <c r="M323" s="8" t="s">
        <v>234</v>
      </c>
      <c r="N323" s="8" t="s">
        <v>256</v>
      </c>
      <c r="O323" s="8" t="s">
        <v>223</v>
      </c>
      <c r="P323" s="5">
        <v>3</v>
      </c>
      <c r="Q323" s="5"/>
      <c r="R323" s="5"/>
      <c r="S323" s="5"/>
      <c r="T323" s="5">
        <v>3</v>
      </c>
      <c r="U323" s="5">
        <v>3</v>
      </c>
      <c r="V323" s="5">
        <v>2</v>
      </c>
      <c r="W323" s="5">
        <v>1</v>
      </c>
      <c r="X323" s="16">
        <f>Lit_rev_final[[#This Row],[Foundationality_1_5]]*0.35+Lit_rev_final[[#This Row],[Topic_Fit_1_5]]*0.35+Lit_rev_final[[#This Row],[Outlet_Quality_1_5]]*0.2+(0.1*Lit_rev_final[[#This Row],[Bridge_Value_0_3]]/3*5)</f>
        <v>2.6666666666666661</v>
      </c>
      <c r="Y323" s="10" t="s">
        <v>566</v>
      </c>
      <c r="Z323" s="5" t="s">
        <v>156</v>
      </c>
      <c r="AA323" s="5" t="s">
        <v>46</v>
      </c>
      <c r="AB323" s="5" t="s">
        <v>46</v>
      </c>
      <c r="AC323" s="16" t="s">
        <v>2028</v>
      </c>
      <c r="AJ323" s="2"/>
    </row>
    <row r="324" spans="1:36" ht="30" customHeight="1" x14ac:dyDescent="0.15">
      <c r="A324" s="5" t="s">
        <v>156</v>
      </c>
      <c r="B324" s="8" t="s">
        <v>2029</v>
      </c>
      <c r="C324" s="8" t="s">
        <v>2030</v>
      </c>
      <c r="D324" s="8" t="s">
        <v>2031</v>
      </c>
      <c r="E324" s="8" t="s">
        <v>1513</v>
      </c>
      <c r="F324" s="5">
        <v>2019</v>
      </c>
      <c r="G324" s="5">
        <v>185</v>
      </c>
      <c r="H324" s="5">
        <v>193</v>
      </c>
      <c r="I324" s="8" t="s">
        <v>2032</v>
      </c>
      <c r="J324" s="13" t="s">
        <v>2033</v>
      </c>
      <c r="K324" s="8" t="s">
        <v>232</v>
      </c>
      <c r="L324" s="5" t="s">
        <v>233</v>
      </c>
      <c r="M324" s="8" t="s">
        <v>234</v>
      </c>
      <c r="N324" s="8" t="s">
        <v>256</v>
      </c>
      <c r="O324" s="8" t="s">
        <v>223</v>
      </c>
      <c r="P324" s="5">
        <v>3</v>
      </c>
      <c r="Q324" s="5"/>
      <c r="R324" s="5"/>
      <c r="S324" s="5"/>
      <c r="T324" s="5">
        <v>3</v>
      </c>
      <c r="U324" s="5">
        <v>3</v>
      </c>
      <c r="V324" s="5">
        <v>2</v>
      </c>
      <c r="W324" s="5">
        <v>1</v>
      </c>
      <c r="X324" s="16">
        <f>Lit_rev_final[[#This Row],[Foundationality_1_5]]*0.35+Lit_rev_final[[#This Row],[Topic_Fit_1_5]]*0.35+Lit_rev_final[[#This Row],[Outlet_Quality_1_5]]*0.2+(0.1*Lit_rev_final[[#This Row],[Bridge_Value_0_3]]/3*5)</f>
        <v>2.6666666666666661</v>
      </c>
      <c r="Y324" s="10" t="s">
        <v>626</v>
      </c>
      <c r="Z324" s="5" t="s">
        <v>156</v>
      </c>
      <c r="AA324" s="5" t="s">
        <v>46</v>
      </c>
      <c r="AB324" s="5" t="s">
        <v>46</v>
      </c>
      <c r="AC324" s="16" t="s">
        <v>2034</v>
      </c>
      <c r="AJ324" s="2"/>
    </row>
    <row r="325" spans="1:36" ht="30" customHeight="1" x14ac:dyDescent="0.15">
      <c r="A325" s="5" t="s">
        <v>156</v>
      </c>
      <c r="B325" s="8" t="s">
        <v>2035</v>
      </c>
      <c r="C325" s="8" t="s">
        <v>2036</v>
      </c>
      <c r="D325" s="8" t="s">
        <v>597</v>
      </c>
      <c r="E325" s="8" t="s">
        <v>152</v>
      </c>
      <c r="F325" s="5">
        <v>2025</v>
      </c>
      <c r="G325" s="5"/>
      <c r="H325" s="5"/>
      <c r="I325" s="8" t="s">
        <v>2037</v>
      </c>
      <c r="J325" s="13" t="s">
        <v>2038</v>
      </c>
      <c r="K325" s="8" t="s">
        <v>232</v>
      </c>
      <c r="L325" s="5" t="s">
        <v>233</v>
      </c>
      <c r="M325" s="8" t="s">
        <v>234</v>
      </c>
      <c r="N325" s="8" t="s">
        <v>256</v>
      </c>
      <c r="O325" s="8" t="s">
        <v>223</v>
      </c>
      <c r="P325" s="5">
        <v>3</v>
      </c>
      <c r="Q325" s="5"/>
      <c r="R325" s="5"/>
      <c r="S325" s="5"/>
      <c r="T325" s="5">
        <v>3</v>
      </c>
      <c r="U325" s="5">
        <v>3</v>
      </c>
      <c r="V325" s="5">
        <v>2</v>
      </c>
      <c r="W325" s="5">
        <v>1</v>
      </c>
      <c r="X325" s="16">
        <f>Lit_rev_final[[#This Row],[Foundationality_1_5]]*0.35+Lit_rev_final[[#This Row],[Topic_Fit_1_5]]*0.35+Lit_rev_final[[#This Row],[Outlet_Quality_1_5]]*0.2+(0.1*Lit_rev_final[[#This Row],[Bridge_Value_0_3]]/3*5)</f>
        <v>2.6666666666666661</v>
      </c>
      <c r="Y325" s="10" t="s">
        <v>566</v>
      </c>
      <c r="Z325" s="5" t="s">
        <v>156</v>
      </c>
      <c r="AA325" s="5" t="s">
        <v>46</v>
      </c>
      <c r="AB325" s="5" t="s">
        <v>46</v>
      </c>
      <c r="AC325" s="16" t="s">
        <v>2039</v>
      </c>
      <c r="AJ325" s="2"/>
    </row>
    <row r="326" spans="1:36" ht="30" customHeight="1" x14ac:dyDescent="0.15">
      <c r="A326" s="7" t="s">
        <v>30</v>
      </c>
      <c r="B326" s="8" t="s">
        <v>2040</v>
      </c>
      <c r="C326" s="8" t="s">
        <v>2041</v>
      </c>
      <c r="D326" s="8" t="s">
        <v>2042</v>
      </c>
      <c r="E326" s="8" t="s">
        <v>1038</v>
      </c>
      <c r="F326" s="5">
        <v>2025</v>
      </c>
      <c r="G326" s="5"/>
      <c r="H326" s="5"/>
      <c r="I326" s="8" t="s">
        <v>2043</v>
      </c>
      <c r="J326" s="13" t="s">
        <v>2044</v>
      </c>
      <c r="K326" s="8" t="s">
        <v>303</v>
      </c>
      <c r="L326" s="5" t="s">
        <v>233</v>
      </c>
      <c r="M326" s="8" t="s">
        <v>367</v>
      </c>
      <c r="N326" s="8" t="s">
        <v>256</v>
      </c>
      <c r="O326" s="8" t="s">
        <v>120</v>
      </c>
      <c r="P326" s="5">
        <v>3</v>
      </c>
      <c r="Q326" s="5"/>
      <c r="R326" s="5"/>
      <c r="S326" s="5"/>
      <c r="T326" s="5">
        <v>3</v>
      </c>
      <c r="U326" s="5">
        <v>4</v>
      </c>
      <c r="V326" s="5">
        <v>1</v>
      </c>
      <c r="W326" s="5">
        <v>0</v>
      </c>
      <c r="X326" s="16">
        <f>Lit_rev_final[[#This Row],[Foundationality_1_5]]*0.35+Lit_rev_final[[#This Row],[Topic_Fit_1_5]]*0.35+Lit_rev_final[[#This Row],[Outlet_Quality_1_5]]*0.2+(0.1*Lit_rev_final[[#This Row],[Bridge_Value_0_3]]/3*5)</f>
        <v>2.65</v>
      </c>
      <c r="Y326" s="10" t="s">
        <v>236</v>
      </c>
      <c r="Z326" s="5" t="s">
        <v>156</v>
      </c>
      <c r="AA326" s="5" t="s">
        <v>46</v>
      </c>
      <c r="AB326" s="5" t="s">
        <v>46</v>
      </c>
      <c r="AC326" s="16" t="s">
        <v>2045</v>
      </c>
      <c r="AJ326" s="2"/>
    </row>
    <row r="327" spans="1:36" ht="30" customHeight="1" x14ac:dyDescent="0.15">
      <c r="A327" s="7" t="s">
        <v>30</v>
      </c>
      <c r="B327" s="8" t="s">
        <v>2046</v>
      </c>
      <c r="C327" s="8" t="s">
        <v>2047</v>
      </c>
      <c r="D327" s="8" t="s">
        <v>2048</v>
      </c>
      <c r="E327" s="8" t="s">
        <v>374</v>
      </c>
      <c r="F327" s="5">
        <v>2025</v>
      </c>
      <c r="G327" s="5">
        <v>300</v>
      </c>
      <c r="H327" s="5">
        <v>308</v>
      </c>
      <c r="I327" s="8" t="s">
        <v>2049</v>
      </c>
      <c r="J327" s="13" t="s">
        <v>2050</v>
      </c>
      <c r="K327" s="8" t="s">
        <v>232</v>
      </c>
      <c r="L327" s="5" t="s">
        <v>233</v>
      </c>
      <c r="M327" s="8" t="s">
        <v>392</v>
      </c>
      <c r="N327" s="8" t="s">
        <v>256</v>
      </c>
      <c r="O327" s="8" t="s">
        <v>120</v>
      </c>
      <c r="P327" s="5">
        <v>3</v>
      </c>
      <c r="Q327" s="5"/>
      <c r="R327" s="5"/>
      <c r="S327" s="5"/>
      <c r="T327" s="5">
        <v>3</v>
      </c>
      <c r="U327" s="5">
        <v>4</v>
      </c>
      <c r="V327" s="5">
        <v>1</v>
      </c>
      <c r="W327" s="5">
        <v>0</v>
      </c>
      <c r="X327" s="16">
        <f>Lit_rev_final[[#This Row],[Foundationality_1_5]]*0.35+Lit_rev_final[[#This Row],[Topic_Fit_1_5]]*0.35+Lit_rev_final[[#This Row],[Outlet_Quality_1_5]]*0.2+(0.1*Lit_rev_final[[#This Row],[Bridge_Value_0_3]]/3*5)</f>
        <v>2.65</v>
      </c>
      <c r="Y327" s="10" t="s">
        <v>399</v>
      </c>
      <c r="Z327" s="5" t="s">
        <v>156</v>
      </c>
      <c r="AA327" s="5" t="s">
        <v>46</v>
      </c>
      <c r="AB327" s="5" t="s">
        <v>46</v>
      </c>
      <c r="AC327" s="16" t="s">
        <v>2051</v>
      </c>
      <c r="AJ327" s="2"/>
    </row>
    <row r="328" spans="1:36" ht="30" customHeight="1" x14ac:dyDescent="0.15">
      <c r="A328" s="7" t="s">
        <v>30</v>
      </c>
      <c r="B328" s="8" t="s">
        <v>2052</v>
      </c>
      <c r="C328" s="8" t="s">
        <v>2053</v>
      </c>
      <c r="D328" s="8" t="s">
        <v>545</v>
      </c>
      <c r="E328" s="8" t="s">
        <v>389</v>
      </c>
      <c r="F328" s="5">
        <v>2025</v>
      </c>
      <c r="G328" s="5">
        <v>177</v>
      </c>
      <c r="H328" s="5">
        <v>189</v>
      </c>
      <c r="I328" s="8" t="s">
        <v>2054</v>
      </c>
      <c r="J328" s="13" t="s">
        <v>2055</v>
      </c>
      <c r="K328" s="8" t="s">
        <v>232</v>
      </c>
      <c r="L328" s="5" t="s">
        <v>233</v>
      </c>
      <c r="M328" s="8" t="s">
        <v>392</v>
      </c>
      <c r="N328" s="8" t="s">
        <v>256</v>
      </c>
      <c r="O328" s="8" t="s">
        <v>120</v>
      </c>
      <c r="P328" s="5">
        <v>3</v>
      </c>
      <c r="Q328" s="5"/>
      <c r="R328" s="5"/>
      <c r="S328" s="5"/>
      <c r="T328" s="5">
        <v>4</v>
      </c>
      <c r="U328" s="5">
        <v>3</v>
      </c>
      <c r="V328" s="5">
        <v>1</v>
      </c>
      <c r="W328" s="5">
        <v>0</v>
      </c>
      <c r="X328" s="16">
        <f>Lit_rev_final[[#This Row],[Foundationality_1_5]]*0.35+Lit_rev_final[[#This Row],[Topic_Fit_1_5]]*0.35+Lit_rev_final[[#This Row],[Outlet_Quality_1_5]]*0.2+(0.1*Lit_rev_final[[#This Row],[Bridge_Value_0_3]]/3*5)</f>
        <v>2.65</v>
      </c>
      <c r="Y328" s="10" t="s">
        <v>399</v>
      </c>
      <c r="Z328" s="5" t="s">
        <v>156</v>
      </c>
      <c r="AA328" s="5" t="s">
        <v>46</v>
      </c>
      <c r="AB328" s="5" t="s">
        <v>46</v>
      </c>
      <c r="AC328" s="16" t="s">
        <v>2056</v>
      </c>
      <c r="AJ328" s="2"/>
    </row>
    <row r="329" spans="1:36" ht="30" customHeight="1" x14ac:dyDescent="0.15">
      <c r="A329" s="7" t="s">
        <v>30</v>
      </c>
      <c r="B329" s="8" t="s">
        <v>2057</v>
      </c>
      <c r="C329" s="8" t="s">
        <v>2058</v>
      </c>
      <c r="D329" s="8" t="s">
        <v>2059</v>
      </c>
      <c r="E329" s="8" t="s">
        <v>253</v>
      </c>
      <c r="F329" s="5">
        <v>2026</v>
      </c>
      <c r="G329" s="5"/>
      <c r="H329" s="5"/>
      <c r="I329" s="8" t="s">
        <v>2060</v>
      </c>
      <c r="J329" s="13" t="s">
        <v>2061</v>
      </c>
      <c r="K329" s="8" t="s">
        <v>232</v>
      </c>
      <c r="L329" s="5" t="s">
        <v>233</v>
      </c>
      <c r="M329" s="8" t="s">
        <v>1337</v>
      </c>
      <c r="N329" s="8" t="s">
        <v>256</v>
      </c>
      <c r="O329" s="8" t="s">
        <v>120</v>
      </c>
      <c r="P329" s="5">
        <v>3</v>
      </c>
      <c r="Q329" s="5"/>
      <c r="R329" s="5"/>
      <c r="S329" s="5"/>
      <c r="T329" s="5">
        <v>3</v>
      </c>
      <c r="U329" s="5">
        <v>4</v>
      </c>
      <c r="V329" s="5">
        <v>1</v>
      </c>
      <c r="W329" s="5">
        <v>0</v>
      </c>
      <c r="X329" s="16">
        <f>Lit_rev_final[[#This Row],[Foundationality_1_5]]*0.35+Lit_rev_final[[#This Row],[Topic_Fit_1_5]]*0.35+Lit_rev_final[[#This Row],[Outlet_Quality_1_5]]*0.2+(0.1*Lit_rev_final[[#This Row],[Bridge_Value_0_3]]/3*5)</f>
        <v>2.65</v>
      </c>
      <c r="Y329" s="10" t="s">
        <v>2062</v>
      </c>
      <c r="Z329" s="5" t="s">
        <v>156</v>
      </c>
      <c r="AA329" s="5" t="s">
        <v>46</v>
      </c>
      <c r="AB329" s="5" t="s">
        <v>46</v>
      </c>
      <c r="AC329" s="16" t="s">
        <v>2063</v>
      </c>
      <c r="AJ329" s="2"/>
    </row>
    <row r="330" spans="1:36" ht="30" customHeight="1" x14ac:dyDescent="0.15">
      <c r="A330" s="7" t="s">
        <v>30</v>
      </c>
      <c r="B330" s="8" t="s">
        <v>2064</v>
      </c>
      <c r="C330" s="8" t="s">
        <v>2065</v>
      </c>
      <c r="D330" s="8" t="s">
        <v>2066</v>
      </c>
      <c r="E330" s="8" t="s">
        <v>2067</v>
      </c>
      <c r="F330" s="5">
        <v>2025</v>
      </c>
      <c r="G330" s="5">
        <v>28</v>
      </c>
      <c r="H330" s="5">
        <v>41</v>
      </c>
      <c r="I330" s="8" t="s">
        <v>2068</v>
      </c>
      <c r="J330" s="13" t="s">
        <v>2069</v>
      </c>
      <c r="K330" s="8" t="s">
        <v>232</v>
      </c>
      <c r="L330" s="5" t="s">
        <v>233</v>
      </c>
      <c r="M330" s="8" t="s">
        <v>392</v>
      </c>
      <c r="N330" s="8" t="s">
        <v>256</v>
      </c>
      <c r="O330" s="8" t="s">
        <v>120</v>
      </c>
      <c r="P330" s="5">
        <v>3</v>
      </c>
      <c r="Q330" s="5"/>
      <c r="R330" s="5"/>
      <c r="S330" s="5"/>
      <c r="T330" s="5">
        <v>3</v>
      </c>
      <c r="U330" s="5">
        <v>4</v>
      </c>
      <c r="V330" s="5">
        <v>1</v>
      </c>
      <c r="W330" s="5">
        <v>0</v>
      </c>
      <c r="X330" s="16">
        <f>Lit_rev_final[[#This Row],[Foundationality_1_5]]*0.35+Lit_rev_final[[#This Row],[Topic_Fit_1_5]]*0.35+Lit_rev_final[[#This Row],[Outlet_Quality_1_5]]*0.2+(0.1*Lit_rev_final[[#This Row],[Bridge_Value_0_3]]/3*5)</f>
        <v>2.65</v>
      </c>
      <c r="Y330" s="10" t="s">
        <v>304</v>
      </c>
      <c r="Z330" s="5" t="s">
        <v>156</v>
      </c>
      <c r="AA330" s="5" t="s">
        <v>46</v>
      </c>
      <c r="AB330" s="5" t="s">
        <v>46</v>
      </c>
      <c r="AC330" s="16" t="s">
        <v>2070</v>
      </c>
      <c r="AJ330" s="2"/>
    </row>
    <row r="331" spans="1:36" ht="30" customHeight="1" x14ac:dyDescent="0.15">
      <c r="A331" s="7" t="s">
        <v>30</v>
      </c>
      <c r="B331" s="8" t="s">
        <v>2071</v>
      </c>
      <c r="C331" s="8" t="s">
        <v>2072</v>
      </c>
      <c r="D331" s="8" t="s">
        <v>396</v>
      </c>
      <c r="E331" s="8" t="s">
        <v>382</v>
      </c>
      <c r="F331" s="5">
        <v>2025</v>
      </c>
      <c r="G331" s="5"/>
      <c r="H331" s="5"/>
      <c r="I331" s="8" t="s">
        <v>2073</v>
      </c>
      <c r="J331" s="13" t="s">
        <v>2074</v>
      </c>
      <c r="K331" s="8" t="s">
        <v>303</v>
      </c>
      <c r="L331" s="5" t="s">
        <v>233</v>
      </c>
      <c r="M331" s="8" t="s">
        <v>367</v>
      </c>
      <c r="N331" s="8" t="s">
        <v>256</v>
      </c>
      <c r="O331" s="8" t="s">
        <v>120</v>
      </c>
      <c r="P331" s="5">
        <v>3</v>
      </c>
      <c r="Q331" s="5"/>
      <c r="R331" s="5"/>
      <c r="S331" s="5"/>
      <c r="T331" s="5">
        <v>3</v>
      </c>
      <c r="U331" s="5">
        <v>4</v>
      </c>
      <c r="V331" s="5">
        <v>1</v>
      </c>
      <c r="W331" s="5">
        <v>0</v>
      </c>
      <c r="X331" s="16">
        <f>Lit_rev_final[[#This Row],[Foundationality_1_5]]*0.35+Lit_rev_final[[#This Row],[Topic_Fit_1_5]]*0.35+Lit_rev_final[[#This Row],[Outlet_Quality_1_5]]*0.2+(0.1*Lit_rev_final[[#This Row],[Bridge_Value_0_3]]/3*5)</f>
        <v>2.65</v>
      </c>
      <c r="Y331" s="10" t="s">
        <v>439</v>
      </c>
      <c r="Z331" s="5" t="s">
        <v>156</v>
      </c>
      <c r="AA331" s="5" t="s">
        <v>46</v>
      </c>
      <c r="AB331" s="5" t="s">
        <v>46</v>
      </c>
      <c r="AC331" s="16" t="s">
        <v>2075</v>
      </c>
      <c r="AJ331" s="2"/>
    </row>
    <row r="332" spans="1:36" ht="30" customHeight="1" x14ac:dyDescent="0.15">
      <c r="A332" s="7" t="s">
        <v>30</v>
      </c>
      <c r="B332" s="8" t="s">
        <v>2076</v>
      </c>
      <c r="C332" s="8" t="s">
        <v>2077</v>
      </c>
      <c r="D332" s="8" t="s">
        <v>2078</v>
      </c>
      <c r="E332" s="8" t="s">
        <v>389</v>
      </c>
      <c r="F332" s="5">
        <v>2024</v>
      </c>
      <c r="G332" s="5">
        <v>219</v>
      </c>
      <c r="H332" s="5">
        <v>233</v>
      </c>
      <c r="I332" s="8" t="s">
        <v>2079</v>
      </c>
      <c r="J332" s="13" t="s">
        <v>2080</v>
      </c>
      <c r="K332" s="8" t="s">
        <v>232</v>
      </c>
      <c r="L332" s="5" t="s">
        <v>1219</v>
      </c>
      <c r="M332" s="8" t="s">
        <v>392</v>
      </c>
      <c r="N332" s="8" t="s">
        <v>256</v>
      </c>
      <c r="O332" s="8" t="s">
        <v>57</v>
      </c>
      <c r="P332" s="5">
        <v>3</v>
      </c>
      <c r="Q332" s="5"/>
      <c r="R332" s="5"/>
      <c r="S332" s="5"/>
      <c r="T332" s="5">
        <v>3</v>
      </c>
      <c r="U332" s="5">
        <v>3</v>
      </c>
      <c r="V332" s="5">
        <v>1</v>
      </c>
      <c r="W332" s="5">
        <v>2</v>
      </c>
      <c r="X332" s="16">
        <f>Lit_rev_final[[#This Row],[Foundationality_1_5]]*0.35+Lit_rev_final[[#This Row],[Topic_Fit_1_5]]*0.35+Lit_rev_final[[#This Row],[Outlet_Quality_1_5]]*0.2+(0.1*Lit_rev_final[[#This Row],[Bridge_Value_0_3]]/3*5)</f>
        <v>2.6333333333333333</v>
      </c>
      <c r="Y332" s="10" t="s">
        <v>2081</v>
      </c>
      <c r="Z332" s="5" t="s">
        <v>156</v>
      </c>
      <c r="AA332" s="5" t="s">
        <v>46</v>
      </c>
      <c r="AB332" s="5" t="s">
        <v>46</v>
      </c>
      <c r="AC332" s="16" t="s">
        <v>2082</v>
      </c>
      <c r="AJ332" s="2"/>
    </row>
    <row r="333" spans="1:36" ht="30" customHeight="1" x14ac:dyDescent="0.15">
      <c r="A333" s="5" t="s">
        <v>156</v>
      </c>
      <c r="B333" s="8" t="s">
        <v>2083</v>
      </c>
      <c r="C333" s="8" t="s">
        <v>2084</v>
      </c>
      <c r="D333" s="8" t="s">
        <v>2085</v>
      </c>
      <c r="E333" s="8" t="s">
        <v>1038</v>
      </c>
      <c r="F333" s="5">
        <v>2023</v>
      </c>
      <c r="G333" s="5"/>
      <c r="H333" s="5"/>
      <c r="I333" s="8" t="s">
        <v>2086</v>
      </c>
      <c r="J333" s="13" t="s">
        <v>2087</v>
      </c>
      <c r="K333" s="8" t="s">
        <v>303</v>
      </c>
      <c r="L333" s="5" t="s">
        <v>233</v>
      </c>
      <c r="M333" s="8" t="s">
        <v>367</v>
      </c>
      <c r="N333" s="8" t="s">
        <v>256</v>
      </c>
      <c r="O333" s="8" t="s">
        <v>120</v>
      </c>
      <c r="P333" s="5">
        <v>3</v>
      </c>
      <c r="Q333" s="5"/>
      <c r="R333" s="5"/>
      <c r="S333" s="5"/>
      <c r="T333" s="5">
        <v>3</v>
      </c>
      <c r="U333" s="5">
        <v>3</v>
      </c>
      <c r="V333" s="5">
        <v>2</v>
      </c>
      <c r="W333" s="5">
        <v>0</v>
      </c>
      <c r="X333" s="16">
        <f>Lit_rev_final[[#This Row],[Foundationality_1_5]]*0.35+Lit_rev_final[[#This Row],[Topic_Fit_1_5]]*0.35+Lit_rev_final[[#This Row],[Outlet_Quality_1_5]]*0.2+(0.1*Lit_rev_final[[#This Row],[Bridge_Value_0_3]]/3*5)</f>
        <v>2.4999999999999996</v>
      </c>
      <c r="Y333" s="10" t="s">
        <v>2088</v>
      </c>
      <c r="Z333" s="5" t="s">
        <v>156</v>
      </c>
      <c r="AA333" s="5" t="s">
        <v>46</v>
      </c>
      <c r="AB333" s="5" t="s">
        <v>46</v>
      </c>
      <c r="AC333" s="16" t="s">
        <v>2089</v>
      </c>
      <c r="AJ333" s="2"/>
    </row>
    <row r="334" spans="1:36" ht="30" customHeight="1" x14ac:dyDescent="0.15">
      <c r="A334" s="5" t="s">
        <v>156</v>
      </c>
      <c r="B334" s="8" t="s">
        <v>2090</v>
      </c>
      <c r="C334" s="8" t="s">
        <v>2091</v>
      </c>
      <c r="D334" s="8" t="s">
        <v>643</v>
      </c>
      <c r="E334" s="8" t="s">
        <v>374</v>
      </c>
      <c r="F334" s="5">
        <v>2025</v>
      </c>
      <c r="G334" s="5"/>
      <c r="H334" s="5"/>
      <c r="I334" s="8" t="s">
        <v>2092</v>
      </c>
      <c r="J334" s="13" t="s">
        <v>2093</v>
      </c>
      <c r="K334" s="8" t="s">
        <v>232</v>
      </c>
      <c r="L334" s="5" t="s">
        <v>233</v>
      </c>
      <c r="M334" s="8" t="s">
        <v>392</v>
      </c>
      <c r="N334" s="8" t="s">
        <v>256</v>
      </c>
      <c r="O334" s="8" t="s">
        <v>120</v>
      </c>
      <c r="P334" s="5">
        <v>3</v>
      </c>
      <c r="Q334" s="5"/>
      <c r="R334" s="5"/>
      <c r="S334" s="5"/>
      <c r="T334" s="5">
        <v>3</v>
      </c>
      <c r="U334" s="5">
        <v>3</v>
      </c>
      <c r="V334" s="5">
        <v>2</v>
      </c>
      <c r="W334" s="5">
        <v>0</v>
      </c>
      <c r="X334" s="16">
        <f>Lit_rev_final[[#This Row],[Foundationality_1_5]]*0.35+Lit_rev_final[[#This Row],[Topic_Fit_1_5]]*0.35+Lit_rev_final[[#This Row],[Outlet_Quality_1_5]]*0.2+(0.1*Lit_rev_final[[#This Row],[Bridge_Value_0_3]]/3*5)</f>
        <v>2.4999999999999996</v>
      </c>
      <c r="Y334" s="10" t="s">
        <v>2094</v>
      </c>
      <c r="Z334" s="5" t="s">
        <v>156</v>
      </c>
      <c r="AA334" s="5" t="s">
        <v>46</v>
      </c>
      <c r="AB334" s="5" t="s">
        <v>46</v>
      </c>
      <c r="AC334" s="16" t="s">
        <v>2095</v>
      </c>
      <c r="AJ334" s="2"/>
    </row>
    <row r="335" spans="1:36" ht="30" customHeight="1" x14ac:dyDescent="0.15">
      <c r="A335" s="5" t="s">
        <v>156</v>
      </c>
      <c r="B335" s="8" t="s">
        <v>2096</v>
      </c>
      <c r="C335" s="8" t="s">
        <v>2097</v>
      </c>
      <c r="D335" s="8" t="s">
        <v>2098</v>
      </c>
      <c r="E335" s="8" t="s">
        <v>389</v>
      </c>
      <c r="F335" s="5">
        <v>2024</v>
      </c>
      <c r="G335" s="5">
        <v>117</v>
      </c>
      <c r="H335" s="5">
        <v>124</v>
      </c>
      <c r="I335" s="8" t="s">
        <v>2099</v>
      </c>
      <c r="J335" s="13" t="s">
        <v>2100</v>
      </c>
      <c r="K335" s="8" t="s">
        <v>232</v>
      </c>
      <c r="L335" s="5" t="s">
        <v>233</v>
      </c>
      <c r="M335" s="8" t="s">
        <v>392</v>
      </c>
      <c r="N335" s="8" t="s">
        <v>256</v>
      </c>
      <c r="O335" s="8" t="s">
        <v>120</v>
      </c>
      <c r="P335" s="5">
        <v>3</v>
      </c>
      <c r="Q335" s="5"/>
      <c r="R335" s="5"/>
      <c r="S335" s="5"/>
      <c r="T335" s="5">
        <v>3</v>
      </c>
      <c r="U335" s="5">
        <v>3</v>
      </c>
      <c r="V335" s="5">
        <v>2</v>
      </c>
      <c r="W335" s="5">
        <v>0</v>
      </c>
      <c r="X335" s="16">
        <f>Lit_rev_final[[#This Row],[Foundationality_1_5]]*0.35+Lit_rev_final[[#This Row],[Topic_Fit_1_5]]*0.35+Lit_rev_final[[#This Row],[Outlet_Quality_1_5]]*0.2+(0.1*Lit_rev_final[[#This Row],[Bridge_Value_0_3]]/3*5)</f>
        <v>2.4999999999999996</v>
      </c>
      <c r="Y335" s="10" t="s">
        <v>2101</v>
      </c>
      <c r="Z335" s="5" t="s">
        <v>156</v>
      </c>
      <c r="AA335" s="5" t="s">
        <v>46</v>
      </c>
      <c r="AB335" s="5" t="s">
        <v>46</v>
      </c>
      <c r="AC335" s="16" t="s">
        <v>2102</v>
      </c>
      <c r="AJ335" s="2"/>
    </row>
    <row r="336" spans="1:36" ht="30" customHeight="1" x14ac:dyDescent="0.15">
      <c r="A336" s="7" t="s">
        <v>30</v>
      </c>
      <c r="B336" s="8" t="s">
        <v>2103</v>
      </c>
      <c r="C336" s="8" t="s">
        <v>2104</v>
      </c>
      <c r="D336" s="8" t="s">
        <v>2105</v>
      </c>
      <c r="E336" s="8" t="s">
        <v>2106</v>
      </c>
      <c r="F336" s="5">
        <v>2024</v>
      </c>
      <c r="G336" s="5"/>
      <c r="H336" s="5"/>
      <c r="I336" s="8" t="s">
        <v>46</v>
      </c>
      <c r="J336" s="13" t="s">
        <v>2107</v>
      </c>
      <c r="K336" s="8" t="s">
        <v>2106</v>
      </c>
      <c r="L336" s="5" t="s">
        <v>233</v>
      </c>
      <c r="M336" s="8" t="s">
        <v>2108</v>
      </c>
      <c r="N336" s="8" t="s">
        <v>2109</v>
      </c>
      <c r="O336" s="8" t="s">
        <v>120</v>
      </c>
      <c r="P336" s="5">
        <v>2</v>
      </c>
      <c r="Q336" s="5"/>
      <c r="R336" s="5"/>
      <c r="S336" s="5"/>
      <c r="T336" s="5">
        <v>3</v>
      </c>
      <c r="U336" s="5">
        <v>3</v>
      </c>
      <c r="V336" s="5">
        <v>2</v>
      </c>
      <c r="W336" s="5">
        <v>0</v>
      </c>
      <c r="X336" s="16">
        <f>Lit_rev_final[[#This Row],[Foundationality_1_5]]*0.35+Lit_rev_final[[#This Row],[Topic_Fit_1_5]]*0.35+Lit_rev_final[[#This Row],[Outlet_Quality_1_5]]*0.2+(0.1*Lit_rev_final[[#This Row],[Bridge_Value_0_3]]/3*5)</f>
        <v>2.4999999999999996</v>
      </c>
      <c r="Y336" s="10" t="s">
        <v>2094</v>
      </c>
      <c r="Z336" s="14" t="s">
        <v>30</v>
      </c>
      <c r="AA336" s="14" t="s">
        <v>162</v>
      </c>
      <c r="AB336" s="15" t="s">
        <v>148</v>
      </c>
      <c r="AC336" s="16" t="s">
        <v>561</v>
      </c>
      <c r="AJ336" s="2"/>
    </row>
    <row r="337" spans="1:36" ht="30" customHeight="1" x14ac:dyDescent="0.15">
      <c r="A337" s="7" t="s">
        <v>30</v>
      </c>
      <c r="B337" s="8" t="s">
        <v>2110</v>
      </c>
      <c r="C337" s="8" t="s">
        <v>2111</v>
      </c>
      <c r="D337" s="8" t="s">
        <v>2112</v>
      </c>
      <c r="E337" s="8" t="s">
        <v>152</v>
      </c>
      <c r="F337" s="5">
        <v>2024</v>
      </c>
      <c r="G337" s="5"/>
      <c r="H337" s="5"/>
      <c r="I337" s="8" t="s">
        <v>2113</v>
      </c>
      <c r="J337" s="13" t="s">
        <v>2114</v>
      </c>
      <c r="K337" s="8" t="s">
        <v>232</v>
      </c>
      <c r="L337" s="5" t="s">
        <v>233</v>
      </c>
      <c r="M337" s="8" t="s">
        <v>234</v>
      </c>
      <c r="N337" s="8" t="s">
        <v>256</v>
      </c>
      <c r="O337" s="8" t="s">
        <v>223</v>
      </c>
      <c r="P337" s="5">
        <v>3</v>
      </c>
      <c r="Q337" s="5"/>
      <c r="R337" s="5"/>
      <c r="S337" s="5"/>
      <c r="T337" s="5">
        <v>3</v>
      </c>
      <c r="U337" s="5">
        <v>3</v>
      </c>
      <c r="V337" s="5">
        <v>2</v>
      </c>
      <c r="W337" s="5">
        <v>0</v>
      </c>
      <c r="X337" s="16">
        <f>Lit_rev_final[[#This Row],[Foundationality_1_5]]*0.35+Lit_rev_final[[#This Row],[Topic_Fit_1_5]]*0.35+Lit_rev_final[[#This Row],[Outlet_Quality_1_5]]*0.2+(0.1*Lit_rev_final[[#This Row],[Bridge_Value_0_3]]/3*5)</f>
        <v>2.4999999999999996</v>
      </c>
      <c r="Y337" s="10" t="s">
        <v>566</v>
      </c>
      <c r="Z337" s="5" t="s">
        <v>156</v>
      </c>
      <c r="AA337" s="5" t="s">
        <v>46</v>
      </c>
      <c r="AB337" s="5" t="s">
        <v>46</v>
      </c>
      <c r="AC337" s="16" t="s">
        <v>2115</v>
      </c>
      <c r="AJ337" s="2"/>
    </row>
    <row r="338" spans="1:36" ht="30" customHeight="1" x14ac:dyDescent="0.15">
      <c r="A338" s="7" t="s">
        <v>30</v>
      </c>
      <c r="B338" s="8" t="s">
        <v>2116</v>
      </c>
      <c r="C338" s="8" t="s">
        <v>2117</v>
      </c>
      <c r="D338" s="8" t="s">
        <v>2118</v>
      </c>
      <c r="E338" s="8" t="s">
        <v>1765</v>
      </c>
      <c r="F338" s="5">
        <v>2023</v>
      </c>
      <c r="G338" s="5"/>
      <c r="H338" s="5"/>
      <c r="I338" s="8" t="s">
        <v>2119</v>
      </c>
      <c r="J338" s="13" t="s">
        <v>2120</v>
      </c>
      <c r="K338" s="8" t="s">
        <v>232</v>
      </c>
      <c r="L338" s="5" t="s">
        <v>233</v>
      </c>
      <c r="M338" s="8" t="s">
        <v>234</v>
      </c>
      <c r="N338" s="8" t="s">
        <v>256</v>
      </c>
      <c r="O338" s="8" t="s">
        <v>223</v>
      </c>
      <c r="P338" s="5">
        <v>3</v>
      </c>
      <c r="Q338" s="5"/>
      <c r="R338" s="5" t="s">
        <v>113</v>
      </c>
      <c r="S338" s="5"/>
      <c r="T338" s="5">
        <v>3</v>
      </c>
      <c r="U338" s="5">
        <v>3</v>
      </c>
      <c r="V338" s="5">
        <v>2</v>
      </c>
      <c r="W338" s="5">
        <v>0</v>
      </c>
      <c r="X338" s="16">
        <f>Lit_rev_final[[#This Row],[Foundationality_1_5]]*0.35+Lit_rev_final[[#This Row],[Topic_Fit_1_5]]*0.35+Lit_rev_final[[#This Row],[Outlet_Quality_1_5]]*0.2+(0.1*Lit_rev_final[[#This Row],[Bridge_Value_0_3]]/3*5)</f>
        <v>2.4999999999999996</v>
      </c>
      <c r="Y338" s="10" t="s">
        <v>626</v>
      </c>
      <c r="Z338" s="5" t="s">
        <v>156</v>
      </c>
      <c r="AA338" s="5" t="s">
        <v>46</v>
      </c>
      <c r="AB338" s="5" t="s">
        <v>46</v>
      </c>
      <c r="AC338" s="16" t="s">
        <v>2121</v>
      </c>
      <c r="AJ338" s="2"/>
    </row>
    <row r="339" spans="1:36" ht="30" customHeight="1" x14ac:dyDescent="0.15">
      <c r="A339" s="7" t="s">
        <v>30</v>
      </c>
      <c r="B339" s="8" t="s">
        <v>2122</v>
      </c>
      <c r="C339" s="8" t="s">
        <v>2123</v>
      </c>
      <c r="D339" s="8" t="s">
        <v>597</v>
      </c>
      <c r="E339" s="8" t="s">
        <v>152</v>
      </c>
      <c r="F339" s="5">
        <v>2021</v>
      </c>
      <c r="G339" s="5"/>
      <c r="H339" s="5"/>
      <c r="I339" s="8" t="s">
        <v>2124</v>
      </c>
      <c r="J339" s="13" t="s">
        <v>2125</v>
      </c>
      <c r="K339" s="8" t="s">
        <v>232</v>
      </c>
      <c r="L339" s="5" t="s">
        <v>233</v>
      </c>
      <c r="M339" s="8" t="s">
        <v>234</v>
      </c>
      <c r="N339" s="8" t="s">
        <v>256</v>
      </c>
      <c r="O339" s="8" t="s">
        <v>223</v>
      </c>
      <c r="P339" s="5">
        <v>3</v>
      </c>
      <c r="Q339" s="5"/>
      <c r="R339" s="5"/>
      <c r="S339" s="5"/>
      <c r="T339" s="5">
        <v>3</v>
      </c>
      <c r="U339" s="5">
        <v>3</v>
      </c>
      <c r="V339" s="5">
        <v>2</v>
      </c>
      <c r="W339" s="5">
        <v>0</v>
      </c>
      <c r="X339" s="16">
        <f>Lit_rev_final[[#This Row],[Foundationality_1_5]]*0.35+Lit_rev_final[[#This Row],[Topic_Fit_1_5]]*0.35+Lit_rev_final[[#This Row],[Outlet_Quality_1_5]]*0.2+(0.1*Lit_rev_final[[#This Row],[Bridge_Value_0_3]]/3*5)</f>
        <v>2.4999999999999996</v>
      </c>
      <c r="Y339" s="10" t="s">
        <v>566</v>
      </c>
      <c r="Z339" s="5" t="s">
        <v>156</v>
      </c>
      <c r="AA339" s="5" t="s">
        <v>46</v>
      </c>
      <c r="AB339" s="5" t="s">
        <v>46</v>
      </c>
      <c r="AC339" s="16" t="s">
        <v>2126</v>
      </c>
      <c r="AJ339" s="2"/>
    </row>
    <row r="340" spans="1:36" ht="30" customHeight="1" x14ac:dyDescent="0.15">
      <c r="A340" s="7" t="s">
        <v>30</v>
      </c>
      <c r="B340" s="8" t="s">
        <v>2127</v>
      </c>
      <c r="C340" s="8" t="s">
        <v>2128</v>
      </c>
      <c r="D340" s="8" t="s">
        <v>2129</v>
      </c>
      <c r="E340" s="8" t="s">
        <v>2130</v>
      </c>
      <c r="F340" s="5">
        <v>2026</v>
      </c>
      <c r="G340" s="5"/>
      <c r="H340" s="5"/>
      <c r="I340" s="8" t="s">
        <v>2131</v>
      </c>
      <c r="J340" s="13" t="s">
        <v>2132</v>
      </c>
      <c r="K340" s="8" t="s">
        <v>303</v>
      </c>
      <c r="L340" s="5" t="s">
        <v>233</v>
      </c>
      <c r="M340" s="8" t="s">
        <v>234</v>
      </c>
      <c r="N340" s="8" t="s">
        <v>256</v>
      </c>
      <c r="O340" s="8" t="s">
        <v>223</v>
      </c>
      <c r="P340" s="5">
        <v>3</v>
      </c>
      <c r="Q340" s="5"/>
      <c r="R340" s="5"/>
      <c r="S340" s="5"/>
      <c r="T340" s="5">
        <v>3</v>
      </c>
      <c r="U340" s="5">
        <v>3</v>
      </c>
      <c r="V340" s="5">
        <v>2</v>
      </c>
      <c r="W340" s="5">
        <v>0</v>
      </c>
      <c r="X340" s="16">
        <f>Lit_rev_final[[#This Row],[Foundationality_1_5]]*0.35+Lit_rev_final[[#This Row],[Topic_Fit_1_5]]*0.35+Lit_rev_final[[#This Row],[Outlet_Quality_1_5]]*0.2+(0.1*Lit_rev_final[[#This Row],[Bridge_Value_0_3]]/3*5)</f>
        <v>2.4999999999999996</v>
      </c>
      <c r="Y340" s="10" t="s">
        <v>566</v>
      </c>
      <c r="Z340" s="5" t="s">
        <v>156</v>
      </c>
      <c r="AA340" s="5" t="s">
        <v>46</v>
      </c>
      <c r="AB340" s="5" t="s">
        <v>46</v>
      </c>
      <c r="AC340" s="16" t="s">
        <v>2133</v>
      </c>
      <c r="AJ340" s="2"/>
    </row>
    <row r="341" spans="1:36" ht="30" customHeight="1" x14ac:dyDescent="0.15">
      <c r="A341" s="5" t="s">
        <v>156</v>
      </c>
      <c r="B341" s="8" t="s">
        <v>2134</v>
      </c>
      <c r="C341" s="8" t="s">
        <v>2135</v>
      </c>
      <c r="D341" s="8" t="s">
        <v>2136</v>
      </c>
      <c r="E341" s="8"/>
      <c r="F341" s="5">
        <v>2026</v>
      </c>
      <c r="G341" s="5"/>
      <c r="H341" s="5"/>
      <c r="I341" s="8" t="s">
        <v>2137</v>
      </c>
      <c r="J341" s="13" t="s">
        <v>2138</v>
      </c>
      <c r="K341" s="8" t="s">
        <v>580</v>
      </c>
      <c r="L341" s="5" t="s">
        <v>233</v>
      </c>
      <c r="M341" s="8" t="s">
        <v>46</v>
      </c>
      <c r="N341" s="8" t="s">
        <v>256</v>
      </c>
      <c r="O341" s="8" t="s">
        <v>120</v>
      </c>
      <c r="P341" s="5">
        <v>3</v>
      </c>
      <c r="Q341" s="5" t="s">
        <v>351</v>
      </c>
      <c r="R341" s="5"/>
      <c r="S341" s="5" t="s">
        <v>69</v>
      </c>
      <c r="T341" s="5">
        <v>3</v>
      </c>
      <c r="U341" s="5">
        <v>3</v>
      </c>
      <c r="V341" s="5">
        <v>2</v>
      </c>
      <c r="W341" s="5">
        <v>0</v>
      </c>
      <c r="X341" s="16">
        <f>Lit_rev_final[[#This Row],[Foundationality_1_5]]*0.35+Lit_rev_final[[#This Row],[Topic_Fit_1_5]]*0.35+Lit_rev_final[[#This Row],[Outlet_Quality_1_5]]*0.2+(0.1*Lit_rev_final[[#This Row],[Bridge_Value_0_3]]/3*5)</f>
        <v>2.4999999999999996</v>
      </c>
      <c r="Y341" s="10" t="s">
        <v>2139</v>
      </c>
      <c r="Z341" s="5" t="s">
        <v>156</v>
      </c>
      <c r="AA341" s="5" t="s">
        <v>46</v>
      </c>
      <c r="AB341" s="5" t="s">
        <v>46</v>
      </c>
      <c r="AC341" s="16" t="s">
        <v>2140</v>
      </c>
      <c r="AJ341" s="2"/>
    </row>
    <row r="342" spans="1:36" ht="30" customHeight="1" x14ac:dyDescent="0.15">
      <c r="A342" s="7" t="s">
        <v>30</v>
      </c>
      <c r="B342" s="8" t="s">
        <v>2141</v>
      </c>
      <c r="C342" s="8" t="s">
        <v>2142</v>
      </c>
      <c r="D342" s="8" t="s">
        <v>2143</v>
      </c>
      <c r="E342" s="8" t="s">
        <v>2144</v>
      </c>
      <c r="F342" s="5">
        <v>2025</v>
      </c>
      <c r="G342" s="5">
        <v>76</v>
      </c>
      <c r="H342" s="5">
        <v>106</v>
      </c>
      <c r="I342" s="8" t="s">
        <v>2145</v>
      </c>
      <c r="J342" s="13" t="s">
        <v>2146</v>
      </c>
      <c r="K342" s="8" t="s">
        <v>232</v>
      </c>
      <c r="L342" s="5" t="s">
        <v>233</v>
      </c>
      <c r="M342" s="8" t="s">
        <v>234</v>
      </c>
      <c r="N342" s="8" t="s">
        <v>256</v>
      </c>
      <c r="O342" s="8" t="s">
        <v>223</v>
      </c>
      <c r="P342" s="5">
        <v>3</v>
      </c>
      <c r="Q342" s="5"/>
      <c r="R342" s="5"/>
      <c r="S342" s="5"/>
      <c r="T342" s="5">
        <v>3</v>
      </c>
      <c r="U342" s="5">
        <v>3</v>
      </c>
      <c r="V342" s="5">
        <v>2</v>
      </c>
      <c r="W342" s="5">
        <v>0</v>
      </c>
      <c r="X342" s="16">
        <f>Lit_rev_final[[#This Row],[Foundationality_1_5]]*0.35+Lit_rev_final[[#This Row],[Topic_Fit_1_5]]*0.35+Lit_rev_final[[#This Row],[Outlet_Quality_1_5]]*0.2+(0.1*Lit_rev_final[[#This Row],[Bridge_Value_0_3]]/3*5)</f>
        <v>2.4999999999999996</v>
      </c>
      <c r="Y342" s="10" t="s">
        <v>626</v>
      </c>
      <c r="Z342" s="5" t="s">
        <v>156</v>
      </c>
      <c r="AA342" s="5" t="s">
        <v>46</v>
      </c>
      <c r="AB342" s="5" t="s">
        <v>46</v>
      </c>
      <c r="AC342" s="16" t="s">
        <v>2147</v>
      </c>
      <c r="AJ342" s="2"/>
    </row>
    <row r="343" spans="1:36" ht="30" customHeight="1" x14ac:dyDescent="0.15">
      <c r="A343" s="5" t="s">
        <v>156</v>
      </c>
      <c r="B343" s="8" t="s">
        <v>2148</v>
      </c>
      <c r="C343" s="8" t="s">
        <v>2149</v>
      </c>
      <c r="D343" s="8" t="s">
        <v>1111</v>
      </c>
      <c r="E343" s="8" t="s">
        <v>374</v>
      </c>
      <c r="F343" s="5">
        <v>2025</v>
      </c>
      <c r="G343" s="5"/>
      <c r="H343" s="5"/>
      <c r="I343" s="8" t="s">
        <v>2150</v>
      </c>
      <c r="J343" s="13" t="s">
        <v>2151</v>
      </c>
      <c r="K343" s="8" t="s">
        <v>377</v>
      </c>
      <c r="L343" s="5" t="s">
        <v>233</v>
      </c>
      <c r="M343" s="8" t="s">
        <v>46</v>
      </c>
      <c r="N343" s="8" t="s">
        <v>256</v>
      </c>
      <c r="O343" s="8" t="s">
        <v>120</v>
      </c>
      <c r="P343" s="5">
        <v>3</v>
      </c>
      <c r="Q343" s="5"/>
      <c r="R343" s="5"/>
      <c r="S343" s="5"/>
      <c r="T343" s="5">
        <v>3</v>
      </c>
      <c r="U343" s="5">
        <v>3</v>
      </c>
      <c r="V343" s="5">
        <v>2</v>
      </c>
      <c r="W343" s="5">
        <v>0</v>
      </c>
      <c r="X343" s="16">
        <f>Lit_rev_final[[#This Row],[Foundationality_1_5]]*0.35+Lit_rev_final[[#This Row],[Topic_Fit_1_5]]*0.35+Lit_rev_final[[#This Row],[Outlet_Quality_1_5]]*0.2+(0.1*Lit_rev_final[[#This Row],[Bridge_Value_0_3]]/3*5)</f>
        <v>2.4999999999999996</v>
      </c>
      <c r="Y343" s="10" t="s">
        <v>2094</v>
      </c>
      <c r="Z343" s="5" t="s">
        <v>156</v>
      </c>
      <c r="AA343" s="5" t="s">
        <v>46</v>
      </c>
      <c r="AB343" s="5" t="s">
        <v>46</v>
      </c>
      <c r="AC343" s="16" t="s">
        <v>2152</v>
      </c>
      <c r="AJ343" s="2"/>
    </row>
    <row r="344" spans="1:36" ht="30" customHeight="1" x14ac:dyDescent="0.15">
      <c r="A344" s="5" t="s">
        <v>156</v>
      </c>
      <c r="B344" s="8" t="s">
        <v>2153</v>
      </c>
      <c r="C344" s="8" t="s">
        <v>2154</v>
      </c>
      <c r="D344" s="8" t="s">
        <v>2155</v>
      </c>
      <c r="E344" s="8" t="s">
        <v>2156</v>
      </c>
      <c r="F344" s="5">
        <v>2026</v>
      </c>
      <c r="G344" s="5"/>
      <c r="H344" s="5"/>
      <c r="I344" s="8" t="s">
        <v>2157</v>
      </c>
      <c r="J344" s="13" t="s">
        <v>2158</v>
      </c>
      <c r="K344" s="8" t="s">
        <v>303</v>
      </c>
      <c r="L344" s="5" t="s">
        <v>233</v>
      </c>
      <c r="M344" s="8" t="s">
        <v>234</v>
      </c>
      <c r="N344" s="8" t="s">
        <v>256</v>
      </c>
      <c r="O344" s="8" t="s">
        <v>112</v>
      </c>
      <c r="P344" s="5">
        <v>3</v>
      </c>
      <c r="Q344" s="5"/>
      <c r="R344" s="5"/>
      <c r="S344" s="5"/>
      <c r="T344" s="5">
        <v>2</v>
      </c>
      <c r="U344" s="5">
        <v>3</v>
      </c>
      <c r="V344" s="5">
        <v>2</v>
      </c>
      <c r="W344" s="5">
        <v>2</v>
      </c>
      <c r="X344" s="16">
        <f>Lit_rev_final[[#This Row],[Foundationality_1_5]]*0.35+Lit_rev_final[[#This Row],[Topic_Fit_1_5]]*0.35+Lit_rev_final[[#This Row],[Outlet_Quality_1_5]]*0.2+(0.1*Lit_rev_final[[#This Row],[Bridge_Value_0_3]]/3*5)</f>
        <v>2.4833333333333334</v>
      </c>
      <c r="Y344" s="10" t="s">
        <v>2159</v>
      </c>
      <c r="Z344" s="5" t="s">
        <v>156</v>
      </c>
      <c r="AA344" s="5" t="s">
        <v>46</v>
      </c>
      <c r="AB344" s="5" t="s">
        <v>46</v>
      </c>
      <c r="AC344" s="16" t="s">
        <v>2160</v>
      </c>
      <c r="AJ344" s="2"/>
    </row>
    <row r="345" spans="1:36" ht="30" customHeight="1" x14ac:dyDescent="0.15">
      <c r="A345" s="5" t="s">
        <v>156</v>
      </c>
      <c r="B345" s="8" t="s">
        <v>2161</v>
      </c>
      <c r="C345" s="8" t="s">
        <v>2162</v>
      </c>
      <c r="D345" s="8" t="s">
        <v>2163</v>
      </c>
      <c r="E345" s="8" t="s">
        <v>2164</v>
      </c>
      <c r="F345" s="5">
        <v>2020</v>
      </c>
      <c r="G345" s="5"/>
      <c r="H345" s="5"/>
      <c r="I345" s="8"/>
      <c r="J345" s="13" t="s">
        <v>2165</v>
      </c>
      <c r="K345" s="8" t="s">
        <v>303</v>
      </c>
      <c r="L345" s="5" t="s">
        <v>233</v>
      </c>
      <c r="M345" s="8" t="s">
        <v>367</v>
      </c>
      <c r="N345" s="8" t="s">
        <v>256</v>
      </c>
      <c r="O345" s="8" t="s">
        <v>112</v>
      </c>
      <c r="P345" s="5">
        <v>3</v>
      </c>
      <c r="Q345" s="5"/>
      <c r="R345" s="5"/>
      <c r="S345" s="5"/>
      <c r="T345" s="5">
        <v>2</v>
      </c>
      <c r="U345" s="5">
        <v>3</v>
      </c>
      <c r="V345" s="5">
        <v>2</v>
      </c>
      <c r="W345" s="5">
        <v>2</v>
      </c>
      <c r="X345" s="16">
        <f>Lit_rev_final[[#This Row],[Foundationality_1_5]]*0.35+Lit_rev_final[[#This Row],[Topic_Fit_1_5]]*0.35+Lit_rev_final[[#This Row],[Outlet_Quality_1_5]]*0.2+(0.1*Lit_rev_final[[#This Row],[Bridge_Value_0_3]]/3*5)</f>
        <v>2.4833333333333334</v>
      </c>
      <c r="Y345" s="10" t="s">
        <v>2159</v>
      </c>
      <c r="Z345" s="5" t="s">
        <v>156</v>
      </c>
      <c r="AA345" s="5" t="s">
        <v>46</v>
      </c>
      <c r="AB345" s="5" t="s">
        <v>46</v>
      </c>
      <c r="AC345" s="16" t="s">
        <v>2166</v>
      </c>
      <c r="AJ345" s="2"/>
    </row>
    <row r="346" spans="1:36" ht="30" customHeight="1" x14ac:dyDescent="0.15">
      <c r="A346" s="5" t="s">
        <v>156</v>
      </c>
      <c r="B346" s="8" t="s">
        <v>2167</v>
      </c>
      <c r="C346" s="8" t="s">
        <v>2168</v>
      </c>
      <c r="D346" s="8" t="s">
        <v>732</v>
      </c>
      <c r="E346" s="8" t="s">
        <v>152</v>
      </c>
      <c r="F346" s="5">
        <v>2024</v>
      </c>
      <c r="G346" s="5"/>
      <c r="H346" s="5"/>
      <c r="I346" s="8" t="s">
        <v>2169</v>
      </c>
      <c r="J346" s="13" t="s">
        <v>2170</v>
      </c>
      <c r="K346" s="8" t="s">
        <v>232</v>
      </c>
      <c r="L346" s="5" t="s">
        <v>1219</v>
      </c>
      <c r="M346" s="8" t="s">
        <v>234</v>
      </c>
      <c r="N346" s="8" t="s">
        <v>256</v>
      </c>
      <c r="O346" s="8" t="s">
        <v>112</v>
      </c>
      <c r="P346" s="5">
        <v>3</v>
      </c>
      <c r="Q346" s="5"/>
      <c r="R346" s="5"/>
      <c r="S346" s="5"/>
      <c r="T346" s="5">
        <v>2</v>
      </c>
      <c r="U346" s="5">
        <v>3</v>
      </c>
      <c r="V346" s="5">
        <v>2</v>
      </c>
      <c r="W346" s="5">
        <v>2</v>
      </c>
      <c r="X346" s="16">
        <f>Lit_rev_final[[#This Row],[Foundationality_1_5]]*0.35+Lit_rev_final[[#This Row],[Topic_Fit_1_5]]*0.35+Lit_rev_final[[#This Row],[Outlet_Quality_1_5]]*0.2+(0.1*Lit_rev_final[[#This Row],[Bridge_Value_0_3]]/3*5)</f>
        <v>2.4833333333333334</v>
      </c>
      <c r="Y346" s="10" t="s">
        <v>2171</v>
      </c>
      <c r="Z346" s="5" t="s">
        <v>156</v>
      </c>
      <c r="AA346" s="5" t="s">
        <v>46</v>
      </c>
      <c r="AB346" s="5" t="s">
        <v>46</v>
      </c>
      <c r="AC346" s="16" t="s">
        <v>2172</v>
      </c>
      <c r="AJ346" s="2"/>
    </row>
    <row r="347" spans="1:36" ht="30" customHeight="1" x14ac:dyDescent="0.15">
      <c r="A347" s="7" t="s">
        <v>30</v>
      </c>
      <c r="B347" s="8" t="s">
        <v>2173</v>
      </c>
      <c r="C347" s="8" t="s">
        <v>2174</v>
      </c>
      <c r="D347" s="8" t="s">
        <v>2175</v>
      </c>
      <c r="E347" s="8" t="s">
        <v>2176</v>
      </c>
      <c r="F347" s="5">
        <v>2018</v>
      </c>
      <c r="G347" s="5">
        <v>117</v>
      </c>
      <c r="H347" s="5">
        <v>135</v>
      </c>
      <c r="I347" s="8" t="s">
        <v>2177</v>
      </c>
      <c r="J347" s="13" t="s">
        <v>2178</v>
      </c>
      <c r="K347" s="8" t="s">
        <v>232</v>
      </c>
      <c r="L347" s="5" t="s">
        <v>1219</v>
      </c>
      <c r="M347" s="8" t="s">
        <v>2179</v>
      </c>
      <c r="N347" s="8" t="s">
        <v>256</v>
      </c>
      <c r="O347" s="8" t="s">
        <v>223</v>
      </c>
      <c r="P347" s="5">
        <v>3</v>
      </c>
      <c r="Q347" s="5"/>
      <c r="R347" s="5"/>
      <c r="S347" s="5"/>
      <c r="T347" s="5">
        <v>3</v>
      </c>
      <c r="U347" s="5">
        <v>3</v>
      </c>
      <c r="V347" s="5">
        <v>1</v>
      </c>
      <c r="W347" s="5">
        <v>0</v>
      </c>
      <c r="X347" s="16">
        <f>Lit_rev_final[[#This Row],[Foundationality_1_5]]*0.35+Lit_rev_final[[#This Row],[Topic_Fit_1_5]]*0.35+Lit_rev_final[[#This Row],[Outlet_Quality_1_5]]*0.2+(0.1*Lit_rev_final[[#This Row],[Bridge_Value_0_3]]/3*5)</f>
        <v>2.2999999999999998</v>
      </c>
      <c r="Y347" s="10" t="s">
        <v>2180</v>
      </c>
      <c r="Z347" s="5" t="s">
        <v>156</v>
      </c>
      <c r="AA347" s="5" t="s">
        <v>46</v>
      </c>
      <c r="AB347" s="5" t="s">
        <v>46</v>
      </c>
      <c r="AC347" s="16" t="s">
        <v>2181</v>
      </c>
      <c r="AJ347" s="2"/>
    </row>
    <row r="348" spans="1:36" ht="30" customHeight="1" x14ac:dyDescent="0.15">
      <c r="A348" s="7" t="s">
        <v>30</v>
      </c>
      <c r="B348" s="8" t="s">
        <v>2182</v>
      </c>
      <c r="C348" s="8" t="s">
        <v>2183</v>
      </c>
      <c r="D348" s="8" t="s">
        <v>2184</v>
      </c>
      <c r="E348" s="8" t="s">
        <v>687</v>
      </c>
      <c r="F348" s="5">
        <v>2024</v>
      </c>
      <c r="G348" s="5"/>
      <c r="H348" s="5"/>
      <c r="I348" s="8" t="s">
        <v>2185</v>
      </c>
      <c r="J348" s="13" t="s">
        <v>2186</v>
      </c>
      <c r="K348" s="8" t="s">
        <v>232</v>
      </c>
      <c r="L348" s="5" t="s">
        <v>233</v>
      </c>
      <c r="M348" s="8" t="s">
        <v>1337</v>
      </c>
      <c r="N348" s="8" t="s">
        <v>256</v>
      </c>
      <c r="O348" s="8" t="s">
        <v>223</v>
      </c>
      <c r="P348" s="5">
        <v>3</v>
      </c>
      <c r="Q348" s="5"/>
      <c r="R348" s="5" t="s">
        <v>113</v>
      </c>
      <c r="S348" s="5"/>
      <c r="T348" s="5">
        <v>3</v>
      </c>
      <c r="U348" s="5">
        <v>3</v>
      </c>
      <c r="V348" s="5">
        <v>1</v>
      </c>
      <c r="W348" s="5">
        <v>0</v>
      </c>
      <c r="X348" s="16">
        <f>Lit_rev_final[[#This Row],[Foundationality_1_5]]*0.35+Lit_rev_final[[#This Row],[Topic_Fit_1_5]]*0.35+Lit_rev_final[[#This Row],[Outlet_Quality_1_5]]*0.2+(0.1*Lit_rev_final[[#This Row],[Bridge_Value_0_3]]/3*5)</f>
        <v>2.2999999999999998</v>
      </c>
      <c r="Y348" s="10" t="s">
        <v>566</v>
      </c>
      <c r="Z348" s="5" t="s">
        <v>156</v>
      </c>
      <c r="AA348" s="5" t="s">
        <v>46</v>
      </c>
      <c r="AB348" s="5" t="s">
        <v>46</v>
      </c>
      <c r="AC348" s="16" t="s">
        <v>2187</v>
      </c>
      <c r="AJ348" s="2"/>
    </row>
    <row r="349" spans="1:36" ht="30" customHeight="1" x14ac:dyDescent="0.15">
      <c r="A349" s="7" t="s">
        <v>30</v>
      </c>
      <c r="B349" s="8" t="s">
        <v>2188</v>
      </c>
      <c r="C349" s="8" t="s">
        <v>2189</v>
      </c>
      <c r="D349" s="8" t="s">
        <v>603</v>
      </c>
      <c r="E349" s="8" t="s">
        <v>411</v>
      </c>
      <c r="F349" s="5">
        <v>2024</v>
      </c>
      <c r="G349" s="5"/>
      <c r="H349" s="5"/>
      <c r="I349" s="8" t="s">
        <v>2190</v>
      </c>
      <c r="J349" s="13" t="s">
        <v>2191</v>
      </c>
      <c r="K349" s="8" t="s">
        <v>303</v>
      </c>
      <c r="L349" s="5" t="s">
        <v>233</v>
      </c>
      <c r="M349" s="8" t="s">
        <v>367</v>
      </c>
      <c r="N349" s="8" t="s">
        <v>256</v>
      </c>
      <c r="O349" s="8" t="s">
        <v>223</v>
      </c>
      <c r="P349" s="5">
        <v>3</v>
      </c>
      <c r="Q349" s="5"/>
      <c r="R349" s="5"/>
      <c r="S349" s="5"/>
      <c r="T349" s="5">
        <v>3</v>
      </c>
      <c r="U349" s="5">
        <v>3</v>
      </c>
      <c r="V349" s="5">
        <v>1</v>
      </c>
      <c r="W349" s="5">
        <v>0</v>
      </c>
      <c r="X349" s="16">
        <f>Lit_rev_final[[#This Row],[Foundationality_1_5]]*0.35+Lit_rev_final[[#This Row],[Topic_Fit_1_5]]*0.35+Lit_rev_final[[#This Row],[Outlet_Quality_1_5]]*0.2+(0.1*Lit_rev_final[[#This Row],[Bridge_Value_0_3]]/3*5)</f>
        <v>2.2999999999999998</v>
      </c>
      <c r="Y349" s="10" t="s">
        <v>566</v>
      </c>
      <c r="Z349" s="5" t="s">
        <v>156</v>
      </c>
      <c r="AA349" s="5" t="s">
        <v>46</v>
      </c>
      <c r="AB349" s="5" t="s">
        <v>46</v>
      </c>
      <c r="AC349" s="16" t="s">
        <v>2192</v>
      </c>
      <c r="AJ349" s="2"/>
    </row>
    <row r="350" spans="1:36" ht="30" customHeight="1" x14ac:dyDescent="0.15">
      <c r="A350" s="7" t="s">
        <v>30</v>
      </c>
      <c r="B350" s="8" t="s">
        <v>2193</v>
      </c>
      <c r="C350" s="8" t="s">
        <v>2194</v>
      </c>
      <c r="D350" s="8" t="s">
        <v>2195</v>
      </c>
      <c r="E350" s="8" t="s">
        <v>389</v>
      </c>
      <c r="F350" s="5">
        <v>2022</v>
      </c>
      <c r="G350" s="5">
        <v>669</v>
      </c>
      <c r="H350" s="5">
        <v>674</v>
      </c>
      <c r="I350" s="8" t="s">
        <v>2196</v>
      </c>
      <c r="J350" s="13" t="s">
        <v>2197</v>
      </c>
      <c r="K350" s="8" t="s">
        <v>232</v>
      </c>
      <c r="L350" s="5" t="s">
        <v>233</v>
      </c>
      <c r="M350" s="8" t="s">
        <v>392</v>
      </c>
      <c r="N350" s="8" t="s">
        <v>256</v>
      </c>
      <c r="O350" s="8" t="s">
        <v>223</v>
      </c>
      <c r="P350" s="5">
        <v>3</v>
      </c>
      <c r="Q350" s="5"/>
      <c r="R350" s="5"/>
      <c r="S350" s="5"/>
      <c r="T350" s="5">
        <v>3</v>
      </c>
      <c r="U350" s="5">
        <v>3</v>
      </c>
      <c r="V350" s="5">
        <v>1</v>
      </c>
      <c r="W350" s="5">
        <v>0</v>
      </c>
      <c r="X350" s="16">
        <f>Lit_rev_final[[#This Row],[Foundationality_1_5]]*0.35+Lit_rev_final[[#This Row],[Topic_Fit_1_5]]*0.35+Lit_rev_final[[#This Row],[Outlet_Quality_1_5]]*0.2+(0.1*Lit_rev_final[[#This Row],[Bridge_Value_0_3]]/3*5)</f>
        <v>2.2999999999999998</v>
      </c>
      <c r="Y350" s="10" t="s">
        <v>2198</v>
      </c>
      <c r="Z350" s="5" t="s">
        <v>156</v>
      </c>
      <c r="AA350" s="5" t="s">
        <v>46</v>
      </c>
      <c r="AB350" s="5" t="s">
        <v>46</v>
      </c>
      <c r="AC350" s="16" t="s">
        <v>2199</v>
      </c>
      <c r="AJ350" s="2"/>
    </row>
    <row r="351" spans="1:36" ht="30" customHeight="1" x14ac:dyDescent="0.15">
      <c r="A351" s="7" t="s">
        <v>30</v>
      </c>
      <c r="B351" s="8" t="s">
        <v>2200</v>
      </c>
      <c r="C351" s="8" t="s">
        <v>2201</v>
      </c>
      <c r="D351" s="8" t="s">
        <v>2202</v>
      </c>
      <c r="E351" s="8" t="s">
        <v>389</v>
      </c>
      <c r="F351" s="5">
        <v>2026</v>
      </c>
      <c r="G351" s="5">
        <v>63</v>
      </c>
      <c r="H351" s="5">
        <v>77</v>
      </c>
      <c r="I351" s="8" t="s">
        <v>2203</v>
      </c>
      <c r="J351" s="13" t="s">
        <v>2204</v>
      </c>
      <c r="K351" s="8" t="s">
        <v>232</v>
      </c>
      <c r="L351" s="5" t="s">
        <v>233</v>
      </c>
      <c r="M351" s="8" t="s">
        <v>392</v>
      </c>
      <c r="N351" s="8" t="s">
        <v>256</v>
      </c>
      <c r="O351" s="8" t="s">
        <v>223</v>
      </c>
      <c r="P351" s="5">
        <v>3</v>
      </c>
      <c r="Q351" s="5"/>
      <c r="R351" s="5"/>
      <c r="S351" s="5"/>
      <c r="T351" s="5">
        <v>3</v>
      </c>
      <c r="U351" s="5">
        <v>3</v>
      </c>
      <c r="V351" s="5">
        <v>1</v>
      </c>
      <c r="W351" s="5">
        <v>0</v>
      </c>
      <c r="X351" s="16">
        <f>Lit_rev_final[[#This Row],[Foundationality_1_5]]*0.35+Lit_rev_final[[#This Row],[Topic_Fit_1_5]]*0.35+Lit_rev_final[[#This Row],[Outlet_Quality_1_5]]*0.2+(0.1*Lit_rev_final[[#This Row],[Bridge_Value_0_3]]/3*5)</f>
        <v>2.2999999999999998</v>
      </c>
      <c r="Y351" s="10" t="s">
        <v>606</v>
      </c>
      <c r="Z351" s="5" t="s">
        <v>156</v>
      </c>
      <c r="AA351" s="5" t="s">
        <v>46</v>
      </c>
      <c r="AB351" s="5" t="s">
        <v>46</v>
      </c>
      <c r="AC351" s="16" t="s">
        <v>2205</v>
      </c>
      <c r="AJ351" s="2"/>
    </row>
    <row r="352" spans="1:36" ht="30" customHeight="1" x14ac:dyDescent="0.15">
      <c r="A352" s="5" t="s">
        <v>156</v>
      </c>
      <c r="B352" s="8" t="s">
        <v>2206</v>
      </c>
      <c r="C352" s="8" t="s">
        <v>2207</v>
      </c>
      <c r="D352" s="8" t="s">
        <v>276</v>
      </c>
      <c r="E352" s="8"/>
      <c r="F352" s="5">
        <v>2024</v>
      </c>
      <c r="G352" s="5"/>
      <c r="H352" s="5"/>
      <c r="I352" s="8" t="s">
        <v>2208</v>
      </c>
      <c r="J352" s="13" t="s">
        <v>2209</v>
      </c>
      <c r="K352" s="8" t="s">
        <v>580</v>
      </c>
      <c r="L352" s="5" t="s">
        <v>233</v>
      </c>
      <c r="M352" s="8" t="s">
        <v>46</v>
      </c>
      <c r="N352" s="8" t="s">
        <v>256</v>
      </c>
      <c r="O352" s="8" t="s">
        <v>112</v>
      </c>
      <c r="P352" s="5">
        <v>3</v>
      </c>
      <c r="Q352" s="5" t="s">
        <v>67</v>
      </c>
      <c r="R352" s="5"/>
      <c r="S352" s="5" t="s">
        <v>69</v>
      </c>
      <c r="T352" s="5">
        <v>2</v>
      </c>
      <c r="U352" s="5">
        <v>2</v>
      </c>
      <c r="V352" s="5">
        <v>3</v>
      </c>
      <c r="W352" s="5">
        <v>1</v>
      </c>
      <c r="X352" s="16">
        <f>Lit_rev_final[[#This Row],[Foundationality_1_5]]*0.35+Lit_rev_final[[#This Row],[Topic_Fit_1_5]]*0.35+Lit_rev_final[[#This Row],[Outlet_Quality_1_5]]*0.2+(0.1*Lit_rev_final[[#This Row],[Bridge_Value_0_3]]/3*5)</f>
        <v>2.1666666666666665</v>
      </c>
      <c r="Y352" s="10" t="s">
        <v>2210</v>
      </c>
      <c r="Z352" s="5" t="s">
        <v>156</v>
      </c>
      <c r="AA352" s="5" t="s">
        <v>46</v>
      </c>
      <c r="AB352" s="5" t="s">
        <v>46</v>
      </c>
      <c r="AC352" s="16" t="s">
        <v>2211</v>
      </c>
      <c r="AJ352" s="2"/>
    </row>
    <row r="353" spans="1:36" ht="30" customHeight="1" x14ac:dyDescent="0.15">
      <c r="A353" s="5" t="s">
        <v>156</v>
      </c>
      <c r="B353" s="8" t="s">
        <v>2212</v>
      </c>
      <c r="C353" s="8" t="s">
        <v>2213</v>
      </c>
      <c r="D353" s="8" t="s">
        <v>276</v>
      </c>
      <c r="E353" s="8"/>
      <c r="F353" s="5">
        <v>2025</v>
      </c>
      <c r="G353" s="5"/>
      <c r="H353" s="5"/>
      <c r="I353" s="8" t="s">
        <v>2214</v>
      </c>
      <c r="J353" s="13" t="s">
        <v>2215</v>
      </c>
      <c r="K353" s="8" t="s">
        <v>580</v>
      </c>
      <c r="L353" s="5" t="s">
        <v>233</v>
      </c>
      <c r="M353" s="8" t="s">
        <v>46</v>
      </c>
      <c r="N353" s="8" t="s">
        <v>256</v>
      </c>
      <c r="O353" s="8" t="s">
        <v>112</v>
      </c>
      <c r="P353" s="5">
        <v>3</v>
      </c>
      <c r="Q353" s="5" t="s">
        <v>67</v>
      </c>
      <c r="R353" s="5"/>
      <c r="S353" s="5" t="s">
        <v>69</v>
      </c>
      <c r="T353" s="5">
        <v>2</v>
      </c>
      <c r="U353" s="5">
        <v>2</v>
      </c>
      <c r="V353" s="5">
        <v>3</v>
      </c>
      <c r="W353" s="5">
        <v>1</v>
      </c>
      <c r="X353" s="16">
        <f>Lit_rev_final[[#This Row],[Foundationality_1_5]]*0.35+Lit_rev_final[[#This Row],[Topic_Fit_1_5]]*0.35+Lit_rev_final[[#This Row],[Outlet_Quality_1_5]]*0.2+(0.1*Lit_rev_final[[#This Row],[Bridge_Value_0_3]]/3*5)</f>
        <v>2.1666666666666665</v>
      </c>
      <c r="Y353" s="10" t="s">
        <v>2216</v>
      </c>
      <c r="Z353" s="5" t="s">
        <v>156</v>
      </c>
      <c r="AA353" s="5" t="s">
        <v>46</v>
      </c>
      <c r="AB353" s="5" t="s">
        <v>46</v>
      </c>
      <c r="AC353" s="16" t="s">
        <v>2217</v>
      </c>
      <c r="AJ353" s="2"/>
    </row>
    <row r="354" spans="1:36" ht="30" customHeight="1" x14ac:dyDescent="0.15">
      <c r="A354" s="7" t="s">
        <v>30</v>
      </c>
      <c r="B354" s="8" t="s">
        <v>2218</v>
      </c>
      <c r="C354" s="8" t="s">
        <v>2219</v>
      </c>
      <c r="D354" s="8" t="s">
        <v>2220</v>
      </c>
      <c r="E354" s="8" t="s">
        <v>504</v>
      </c>
      <c r="F354" s="5">
        <v>2026</v>
      </c>
      <c r="G354" s="5"/>
      <c r="H354" s="5"/>
      <c r="I354" s="8" t="s">
        <v>2221</v>
      </c>
      <c r="J354" s="13" t="s">
        <v>2222</v>
      </c>
      <c r="K354" s="8" t="s">
        <v>232</v>
      </c>
      <c r="L354" s="5" t="s">
        <v>233</v>
      </c>
      <c r="M354" s="8" t="s">
        <v>234</v>
      </c>
      <c r="N354" s="8" t="s">
        <v>256</v>
      </c>
      <c r="O354" s="8" t="s">
        <v>223</v>
      </c>
      <c r="P354" s="5">
        <v>3</v>
      </c>
      <c r="Q354" s="5"/>
      <c r="R354" s="5"/>
      <c r="S354" s="5"/>
      <c r="T354" s="5">
        <v>3</v>
      </c>
      <c r="U354" s="5">
        <v>2</v>
      </c>
      <c r="V354" s="5">
        <v>2</v>
      </c>
      <c r="W354" s="5">
        <v>0</v>
      </c>
      <c r="X354" s="16">
        <f>Lit_rev_final[[#This Row],[Foundationality_1_5]]*0.35+Lit_rev_final[[#This Row],[Topic_Fit_1_5]]*0.35+Lit_rev_final[[#This Row],[Outlet_Quality_1_5]]*0.2+(0.1*Lit_rev_final[[#This Row],[Bridge_Value_0_3]]/3*5)</f>
        <v>2.15</v>
      </c>
      <c r="Y354" s="10" t="s">
        <v>566</v>
      </c>
      <c r="Z354" s="5" t="s">
        <v>156</v>
      </c>
      <c r="AA354" s="5" t="s">
        <v>46</v>
      </c>
      <c r="AB354" s="5" t="s">
        <v>46</v>
      </c>
      <c r="AC354" s="16" t="s">
        <v>2223</v>
      </c>
      <c r="AJ354" s="2"/>
    </row>
    <row r="355" spans="1:36" ht="30" customHeight="1" x14ac:dyDescent="0.15">
      <c r="A355" s="5" t="s">
        <v>156</v>
      </c>
      <c r="B355" s="8" t="s">
        <v>2224</v>
      </c>
      <c r="C355" s="8" t="s">
        <v>2225</v>
      </c>
      <c r="D355" s="8" t="s">
        <v>2226</v>
      </c>
      <c r="E355" s="8" t="s">
        <v>2227</v>
      </c>
      <c r="F355" s="5">
        <v>2025</v>
      </c>
      <c r="G355" s="5">
        <v>242</v>
      </c>
      <c r="H355" s="5">
        <v>274</v>
      </c>
      <c r="I355" s="8" t="s">
        <v>2228</v>
      </c>
      <c r="J355" s="13" t="s">
        <v>2229</v>
      </c>
      <c r="K355" s="8" t="s">
        <v>232</v>
      </c>
      <c r="L355" s="5" t="s">
        <v>233</v>
      </c>
      <c r="M355" s="8" t="s">
        <v>234</v>
      </c>
      <c r="N355" s="8" t="s">
        <v>256</v>
      </c>
      <c r="O355" s="8" t="s">
        <v>223</v>
      </c>
      <c r="P355" s="5">
        <v>3</v>
      </c>
      <c r="Q355" s="5"/>
      <c r="R355" s="5"/>
      <c r="S355" s="5"/>
      <c r="T355" s="5">
        <v>3</v>
      </c>
      <c r="U355" s="5">
        <v>2</v>
      </c>
      <c r="V355" s="5">
        <v>2</v>
      </c>
      <c r="W355" s="5">
        <v>0</v>
      </c>
      <c r="X355" s="16">
        <f>Lit_rev_final[[#This Row],[Foundationality_1_5]]*0.35+Lit_rev_final[[#This Row],[Topic_Fit_1_5]]*0.35+Lit_rev_final[[#This Row],[Outlet_Quality_1_5]]*0.2+(0.1*Lit_rev_final[[#This Row],[Bridge_Value_0_3]]/3*5)</f>
        <v>2.15</v>
      </c>
      <c r="Y355" s="10" t="s">
        <v>606</v>
      </c>
      <c r="Z355" s="5" t="s">
        <v>156</v>
      </c>
      <c r="AA355" s="5" t="s">
        <v>46</v>
      </c>
      <c r="AB355" s="5" t="s">
        <v>46</v>
      </c>
      <c r="AC355" s="16" t="s">
        <v>2230</v>
      </c>
      <c r="AJ355" s="2"/>
    </row>
    <row r="356" spans="1:36" ht="30" customHeight="1" x14ac:dyDescent="0.15">
      <c r="A356" s="5" t="s">
        <v>156</v>
      </c>
      <c r="B356" s="8" t="s">
        <v>2231</v>
      </c>
      <c r="C356" s="8" t="s">
        <v>2232</v>
      </c>
      <c r="D356" s="8" t="s">
        <v>2233</v>
      </c>
      <c r="E356" s="8" t="s">
        <v>374</v>
      </c>
      <c r="F356" s="5">
        <v>2024</v>
      </c>
      <c r="G356" s="5"/>
      <c r="H356" s="5"/>
      <c r="I356" s="8" t="s">
        <v>2234</v>
      </c>
      <c r="J356" s="13" t="s">
        <v>2235</v>
      </c>
      <c r="K356" s="8" t="s">
        <v>232</v>
      </c>
      <c r="L356" s="5" t="s">
        <v>233</v>
      </c>
      <c r="M356" s="8" t="s">
        <v>392</v>
      </c>
      <c r="N356" s="8" t="s">
        <v>256</v>
      </c>
      <c r="O356" s="8" t="s">
        <v>120</v>
      </c>
      <c r="P356" s="5">
        <v>3</v>
      </c>
      <c r="Q356" s="5"/>
      <c r="R356" s="5"/>
      <c r="S356" s="5"/>
      <c r="T356" s="5">
        <v>3</v>
      </c>
      <c r="U356" s="5">
        <v>2</v>
      </c>
      <c r="V356" s="5">
        <v>2</v>
      </c>
      <c r="W356" s="5">
        <v>0</v>
      </c>
      <c r="X356" s="16">
        <f>Lit_rev_final[[#This Row],[Foundationality_1_5]]*0.35+Lit_rev_final[[#This Row],[Topic_Fit_1_5]]*0.35+Lit_rev_final[[#This Row],[Outlet_Quality_1_5]]*0.2+(0.1*Lit_rev_final[[#This Row],[Bridge_Value_0_3]]/3*5)</f>
        <v>2.15</v>
      </c>
      <c r="Y356" s="10" t="s">
        <v>2101</v>
      </c>
      <c r="Z356" s="5" t="s">
        <v>156</v>
      </c>
      <c r="AA356" s="5" t="s">
        <v>46</v>
      </c>
      <c r="AB356" s="5" t="s">
        <v>46</v>
      </c>
      <c r="AC356" s="16" t="s">
        <v>2236</v>
      </c>
      <c r="AJ356" s="2"/>
    </row>
    <row r="357" spans="1:36" ht="30" customHeight="1" x14ac:dyDescent="0.15">
      <c r="A357" s="5" t="s">
        <v>156</v>
      </c>
      <c r="B357" s="8" t="s">
        <v>2237</v>
      </c>
      <c r="C357" s="8" t="s">
        <v>2238</v>
      </c>
      <c r="D357" s="8" t="s">
        <v>2239</v>
      </c>
      <c r="E357" s="8" t="s">
        <v>2240</v>
      </c>
      <c r="F357" s="5">
        <v>2025</v>
      </c>
      <c r="G357" s="5"/>
      <c r="H357" s="5"/>
      <c r="I357" s="8" t="s">
        <v>2241</v>
      </c>
      <c r="J357" s="13" t="s">
        <v>2242</v>
      </c>
      <c r="K357" s="8" t="s">
        <v>303</v>
      </c>
      <c r="L357" s="5" t="s">
        <v>233</v>
      </c>
      <c r="M357" s="8" t="s">
        <v>367</v>
      </c>
      <c r="N357" s="8" t="s">
        <v>256</v>
      </c>
      <c r="O357" s="8" t="s">
        <v>120</v>
      </c>
      <c r="P357" s="5">
        <v>3</v>
      </c>
      <c r="Q357" s="5"/>
      <c r="R357" s="5"/>
      <c r="S357" s="5"/>
      <c r="T357" s="5">
        <v>3</v>
      </c>
      <c r="U357" s="5">
        <v>2</v>
      </c>
      <c r="V357" s="5">
        <v>2</v>
      </c>
      <c r="W357" s="5">
        <v>0</v>
      </c>
      <c r="X357" s="16">
        <f>Lit_rev_final[[#This Row],[Foundationality_1_5]]*0.35+Lit_rev_final[[#This Row],[Topic_Fit_1_5]]*0.35+Lit_rev_final[[#This Row],[Outlet_Quality_1_5]]*0.2+(0.1*Lit_rev_final[[#This Row],[Bridge_Value_0_3]]/3*5)</f>
        <v>2.15</v>
      </c>
      <c r="Y357" s="10" t="s">
        <v>2094</v>
      </c>
      <c r="Z357" s="5" t="s">
        <v>156</v>
      </c>
      <c r="AA357" s="5" t="s">
        <v>46</v>
      </c>
      <c r="AB357" s="5" t="s">
        <v>46</v>
      </c>
      <c r="AC357" s="16" t="s">
        <v>2243</v>
      </c>
      <c r="AJ357" s="2"/>
    </row>
    <row r="358" spans="1:36" ht="30" customHeight="1" x14ac:dyDescent="0.15">
      <c r="A358" s="5" t="s">
        <v>156</v>
      </c>
      <c r="B358" s="8" t="s">
        <v>2244</v>
      </c>
      <c r="C358" s="8" t="s">
        <v>2245</v>
      </c>
      <c r="D358" s="8" t="s">
        <v>2246</v>
      </c>
      <c r="E358" s="8" t="s">
        <v>382</v>
      </c>
      <c r="F358" s="5">
        <v>2025</v>
      </c>
      <c r="G358" s="5"/>
      <c r="H358" s="5"/>
      <c r="I358" s="8" t="s">
        <v>2247</v>
      </c>
      <c r="J358" s="13" t="s">
        <v>2248</v>
      </c>
      <c r="K358" s="8" t="s">
        <v>303</v>
      </c>
      <c r="L358" s="5" t="s">
        <v>233</v>
      </c>
      <c r="M358" s="8" t="s">
        <v>367</v>
      </c>
      <c r="N358" s="8" t="s">
        <v>256</v>
      </c>
      <c r="O358" s="8" t="s">
        <v>120</v>
      </c>
      <c r="P358" s="5">
        <v>3</v>
      </c>
      <c r="Q358" s="5"/>
      <c r="R358" s="5"/>
      <c r="S358" s="5"/>
      <c r="T358" s="5">
        <v>3</v>
      </c>
      <c r="U358" s="5">
        <v>2</v>
      </c>
      <c r="V358" s="5">
        <v>2</v>
      </c>
      <c r="W358" s="5">
        <v>0</v>
      </c>
      <c r="X358" s="16">
        <f>Lit_rev_final[[#This Row],[Foundationality_1_5]]*0.35+Lit_rev_final[[#This Row],[Topic_Fit_1_5]]*0.35+Lit_rev_final[[#This Row],[Outlet_Quality_1_5]]*0.2+(0.1*Lit_rev_final[[#This Row],[Bridge_Value_0_3]]/3*5)</f>
        <v>2.15</v>
      </c>
      <c r="Y358" s="10" t="s">
        <v>2088</v>
      </c>
      <c r="Z358" s="5" t="s">
        <v>156</v>
      </c>
      <c r="AA358" s="5" t="s">
        <v>46</v>
      </c>
      <c r="AB358" s="5" t="s">
        <v>46</v>
      </c>
      <c r="AC358" s="16" t="s">
        <v>2249</v>
      </c>
      <c r="AJ358" s="2"/>
    </row>
    <row r="359" spans="1:36" ht="30" customHeight="1" x14ac:dyDescent="0.15">
      <c r="A359" s="5" t="s">
        <v>156</v>
      </c>
      <c r="B359" s="8" t="s">
        <v>2250</v>
      </c>
      <c r="C359" s="8" t="s">
        <v>2251</v>
      </c>
      <c r="D359" s="8" t="s">
        <v>2252</v>
      </c>
      <c r="E359" s="8" t="s">
        <v>374</v>
      </c>
      <c r="F359" s="5">
        <v>2023</v>
      </c>
      <c r="G359" s="5"/>
      <c r="H359" s="5"/>
      <c r="I359" s="8" t="s">
        <v>2253</v>
      </c>
      <c r="J359" s="13" t="s">
        <v>2254</v>
      </c>
      <c r="K359" s="8" t="s">
        <v>377</v>
      </c>
      <c r="L359" s="5" t="s">
        <v>233</v>
      </c>
      <c r="M359" s="8" t="s">
        <v>46</v>
      </c>
      <c r="N359" s="8" t="s">
        <v>256</v>
      </c>
      <c r="O359" s="8" t="s">
        <v>120</v>
      </c>
      <c r="P359" s="5">
        <v>3</v>
      </c>
      <c r="Q359" s="5"/>
      <c r="R359" s="5"/>
      <c r="S359" s="5"/>
      <c r="T359" s="5">
        <v>3</v>
      </c>
      <c r="U359" s="5">
        <v>2</v>
      </c>
      <c r="V359" s="5">
        <v>2</v>
      </c>
      <c r="W359" s="5">
        <v>0</v>
      </c>
      <c r="X359" s="16">
        <f>Lit_rev_final[[#This Row],[Foundationality_1_5]]*0.35+Lit_rev_final[[#This Row],[Topic_Fit_1_5]]*0.35+Lit_rev_final[[#This Row],[Outlet_Quality_1_5]]*0.2+(0.1*Lit_rev_final[[#This Row],[Bridge_Value_0_3]]/3*5)</f>
        <v>2.15</v>
      </c>
      <c r="Y359" s="10" t="s">
        <v>2094</v>
      </c>
      <c r="Z359" s="5" t="s">
        <v>156</v>
      </c>
      <c r="AA359" s="5" t="s">
        <v>46</v>
      </c>
      <c r="AB359" s="5" t="s">
        <v>46</v>
      </c>
      <c r="AC359" s="16" t="s">
        <v>2255</v>
      </c>
      <c r="AJ359" s="2"/>
    </row>
    <row r="360" spans="1:36" ht="30" customHeight="1" x14ac:dyDescent="0.15">
      <c r="A360" s="5" t="s">
        <v>156</v>
      </c>
      <c r="B360" s="8" t="s">
        <v>2256</v>
      </c>
      <c r="C360" s="8" t="s">
        <v>2257</v>
      </c>
      <c r="D360" s="8" t="s">
        <v>2258</v>
      </c>
      <c r="E360" s="8" t="s">
        <v>411</v>
      </c>
      <c r="F360" s="5">
        <v>2025</v>
      </c>
      <c r="G360" s="5"/>
      <c r="H360" s="5"/>
      <c r="I360" s="8" t="s">
        <v>2259</v>
      </c>
      <c r="J360" s="13" t="s">
        <v>2260</v>
      </c>
      <c r="K360" s="8" t="s">
        <v>303</v>
      </c>
      <c r="L360" s="5" t="s">
        <v>233</v>
      </c>
      <c r="M360" s="8" t="s">
        <v>234</v>
      </c>
      <c r="N360" s="8" t="s">
        <v>256</v>
      </c>
      <c r="O360" s="8" t="s">
        <v>120</v>
      </c>
      <c r="P360" s="5">
        <v>3</v>
      </c>
      <c r="Q360" s="5"/>
      <c r="R360" s="5"/>
      <c r="S360" s="5"/>
      <c r="T360" s="5">
        <v>3</v>
      </c>
      <c r="U360" s="5">
        <v>2</v>
      </c>
      <c r="V360" s="5">
        <v>2</v>
      </c>
      <c r="W360" s="5">
        <v>0</v>
      </c>
      <c r="X360" s="16">
        <f>Lit_rev_final[[#This Row],[Foundationality_1_5]]*0.35+Lit_rev_final[[#This Row],[Topic_Fit_1_5]]*0.35+Lit_rev_final[[#This Row],[Outlet_Quality_1_5]]*0.2+(0.1*Lit_rev_final[[#This Row],[Bridge_Value_0_3]]/3*5)</f>
        <v>2.15</v>
      </c>
      <c r="Y360" s="10" t="s">
        <v>2101</v>
      </c>
      <c r="Z360" s="5" t="s">
        <v>156</v>
      </c>
      <c r="AA360" s="5" t="s">
        <v>46</v>
      </c>
      <c r="AB360" s="5" t="s">
        <v>46</v>
      </c>
      <c r="AC360" s="16" t="s">
        <v>2261</v>
      </c>
      <c r="AJ360" s="2"/>
    </row>
    <row r="361" spans="1:36" ht="30" customHeight="1" x14ac:dyDescent="0.15">
      <c r="A361" s="5" t="s">
        <v>156</v>
      </c>
      <c r="B361" s="8" t="s">
        <v>2262</v>
      </c>
      <c r="C361" s="8" t="s">
        <v>2263</v>
      </c>
      <c r="D361" s="8" t="s">
        <v>2264</v>
      </c>
      <c r="E361" s="8" t="s">
        <v>253</v>
      </c>
      <c r="F361" s="5">
        <v>2026</v>
      </c>
      <c r="G361" s="5">
        <v>286</v>
      </c>
      <c r="H361" s="5">
        <v>311</v>
      </c>
      <c r="I361" s="8" t="s">
        <v>2265</v>
      </c>
      <c r="J361" s="13" t="s">
        <v>2266</v>
      </c>
      <c r="K361" s="8" t="s">
        <v>232</v>
      </c>
      <c r="L361" s="5" t="s">
        <v>1219</v>
      </c>
      <c r="M361" s="8" t="s">
        <v>234</v>
      </c>
      <c r="N361" s="8" t="s">
        <v>256</v>
      </c>
      <c r="O361" s="8" t="s">
        <v>223</v>
      </c>
      <c r="P361" s="5">
        <v>3</v>
      </c>
      <c r="Q361" s="5"/>
      <c r="R361" s="5"/>
      <c r="S361" s="5"/>
      <c r="T361" s="5">
        <v>3</v>
      </c>
      <c r="U361" s="5">
        <v>2</v>
      </c>
      <c r="V361" s="5">
        <v>2</v>
      </c>
      <c r="W361" s="5">
        <v>0</v>
      </c>
      <c r="X361" s="16">
        <f>Lit_rev_final[[#This Row],[Foundationality_1_5]]*0.35+Lit_rev_final[[#This Row],[Topic_Fit_1_5]]*0.35+Lit_rev_final[[#This Row],[Outlet_Quality_1_5]]*0.2+(0.1*Lit_rev_final[[#This Row],[Bridge_Value_0_3]]/3*5)</f>
        <v>2.15</v>
      </c>
      <c r="Y361" s="10" t="s">
        <v>1220</v>
      </c>
      <c r="Z361" s="5" t="s">
        <v>156</v>
      </c>
      <c r="AA361" s="5" t="s">
        <v>46</v>
      </c>
      <c r="AB361" s="5" t="s">
        <v>46</v>
      </c>
      <c r="AC361" s="16" t="s">
        <v>2267</v>
      </c>
      <c r="AJ361" s="2"/>
    </row>
    <row r="362" spans="1:36" ht="30" customHeight="1" x14ac:dyDescent="0.15">
      <c r="A362" s="5" t="s">
        <v>156</v>
      </c>
      <c r="B362" s="8" t="s">
        <v>2268</v>
      </c>
      <c r="C362" s="8" t="s">
        <v>2269</v>
      </c>
      <c r="D362" s="8" t="s">
        <v>2270</v>
      </c>
      <c r="E362" s="8" t="s">
        <v>1783</v>
      </c>
      <c r="F362" s="5">
        <v>2025</v>
      </c>
      <c r="G362" s="5"/>
      <c r="H362" s="5"/>
      <c r="I362" s="8" t="s">
        <v>2271</v>
      </c>
      <c r="J362" s="13" t="s">
        <v>2272</v>
      </c>
      <c r="K362" s="8" t="s">
        <v>377</v>
      </c>
      <c r="L362" s="5" t="s">
        <v>233</v>
      </c>
      <c r="M362" s="8" t="s">
        <v>46</v>
      </c>
      <c r="N362" s="8" t="s">
        <v>256</v>
      </c>
      <c r="O362" s="8" t="s">
        <v>120</v>
      </c>
      <c r="P362" s="5">
        <v>3</v>
      </c>
      <c r="Q362" s="5"/>
      <c r="R362" s="5"/>
      <c r="S362" s="5"/>
      <c r="T362" s="5">
        <v>3</v>
      </c>
      <c r="U362" s="5">
        <v>2</v>
      </c>
      <c r="V362" s="5">
        <v>2</v>
      </c>
      <c r="W362" s="5">
        <v>0</v>
      </c>
      <c r="X362" s="16">
        <f>Lit_rev_final[[#This Row],[Foundationality_1_5]]*0.35+Lit_rev_final[[#This Row],[Topic_Fit_1_5]]*0.35+Lit_rev_final[[#This Row],[Outlet_Quality_1_5]]*0.2+(0.1*Lit_rev_final[[#This Row],[Bridge_Value_0_3]]/3*5)</f>
        <v>2.15</v>
      </c>
      <c r="Y362" s="10" t="s">
        <v>2094</v>
      </c>
      <c r="Z362" s="5" t="s">
        <v>156</v>
      </c>
      <c r="AA362" s="5" t="s">
        <v>46</v>
      </c>
      <c r="AB362" s="5" t="s">
        <v>46</v>
      </c>
      <c r="AC362" s="16" t="s">
        <v>2273</v>
      </c>
      <c r="AJ362" s="2"/>
    </row>
    <row r="363" spans="1:36" ht="30" customHeight="1" x14ac:dyDescent="0.15">
      <c r="A363" s="5" t="s">
        <v>156</v>
      </c>
      <c r="B363" s="8" t="s">
        <v>2274</v>
      </c>
      <c r="C363" s="8" t="s">
        <v>2275</v>
      </c>
      <c r="D363" s="8" t="s">
        <v>2276</v>
      </c>
      <c r="E363" s="8"/>
      <c r="F363" s="5">
        <v>2023</v>
      </c>
      <c r="G363" s="5"/>
      <c r="H363" s="5"/>
      <c r="I363" s="8" t="s">
        <v>2277</v>
      </c>
      <c r="J363" s="13" t="s">
        <v>2278</v>
      </c>
      <c r="K363" s="8" t="s">
        <v>912</v>
      </c>
      <c r="L363" s="5" t="s">
        <v>233</v>
      </c>
      <c r="M363" s="8" t="s">
        <v>46</v>
      </c>
      <c r="N363" s="8" t="s">
        <v>256</v>
      </c>
      <c r="O363" s="8" t="s">
        <v>120</v>
      </c>
      <c r="P363" s="5">
        <v>3</v>
      </c>
      <c r="Q363" s="5"/>
      <c r="R363" s="5"/>
      <c r="S363" s="5"/>
      <c r="T363" s="5">
        <v>3</v>
      </c>
      <c r="U363" s="5">
        <v>2</v>
      </c>
      <c r="V363" s="5">
        <v>2</v>
      </c>
      <c r="W363" s="5">
        <v>0</v>
      </c>
      <c r="X363" s="16">
        <f>Lit_rev_final[[#This Row],[Foundationality_1_5]]*0.35+Lit_rev_final[[#This Row],[Topic_Fit_1_5]]*0.35+Lit_rev_final[[#This Row],[Outlet_Quality_1_5]]*0.2+(0.1*Lit_rev_final[[#This Row],[Bridge_Value_0_3]]/3*5)</f>
        <v>2.15</v>
      </c>
      <c r="Y363" s="10" t="s">
        <v>2094</v>
      </c>
      <c r="Z363" s="5" t="s">
        <v>156</v>
      </c>
      <c r="AA363" s="5" t="s">
        <v>46</v>
      </c>
      <c r="AB363" s="5" t="s">
        <v>46</v>
      </c>
      <c r="AC363" s="16" t="s">
        <v>2279</v>
      </c>
      <c r="AJ363" s="2"/>
    </row>
    <row r="364" spans="1:36" ht="30" customHeight="1" x14ac:dyDescent="0.15">
      <c r="A364" s="5" t="s">
        <v>156</v>
      </c>
      <c r="B364" s="8" t="s">
        <v>2280</v>
      </c>
      <c r="C364" s="8" t="s">
        <v>2281</v>
      </c>
      <c r="D364" s="8" t="s">
        <v>1071</v>
      </c>
      <c r="E364" s="8" t="s">
        <v>2282</v>
      </c>
      <c r="F364" s="5">
        <v>2025</v>
      </c>
      <c r="G364" s="5"/>
      <c r="H364" s="5"/>
      <c r="I364" s="8" t="s">
        <v>2283</v>
      </c>
      <c r="J364" s="13" t="s">
        <v>2284</v>
      </c>
      <c r="K364" s="8" t="s">
        <v>303</v>
      </c>
      <c r="L364" s="5" t="s">
        <v>233</v>
      </c>
      <c r="M364" s="8" t="s">
        <v>234</v>
      </c>
      <c r="N364" s="8" t="s">
        <v>256</v>
      </c>
      <c r="O364" s="8" t="s">
        <v>120</v>
      </c>
      <c r="P364" s="5">
        <v>3</v>
      </c>
      <c r="Q364" s="5"/>
      <c r="R364" s="5"/>
      <c r="S364" s="5"/>
      <c r="T364" s="5">
        <v>3</v>
      </c>
      <c r="U364" s="5">
        <v>2</v>
      </c>
      <c r="V364" s="5">
        <v>2</v>
      </c>
      <c r="W364" s="5">
        <v>0</v>
      </c>
      <c r="X364" s="16">
        <f>Lit_rev_final[[#This Row],[Foundationality_1_5]]*0.35+Lit_rev_final[[#This Row],[Topic_Fit_1_5]]*0.35+Lit_rev_final[[#This Row],[Outlet_Quality_1_5]]*0.2+(0.1*Lit_rev_final[[#This Row],[Bridge_Value_0_3]]/3*5)</f>
        <v>2.15</v>
      </c>
      <c r="Y364" s="10" t="s">
        <v>2094</v>
      </c>
      <c r="Z364" s="5" t="s">
        <v>156</v>
      </c>
      <c r="AA364" s="5" t="s">
        <v>46</v>
      </c>
      <c r="AB364" s="5" t="s">
        <v>46</v>
      </c>
      <c r="AC364" s="16" t="s">
        <v>2285</v>
      </c>
      <c r="AJ364" s="2"/>
    </row>
    <row r="365" spans="1:36" ht="30" customHeight="1" x14ac:dyDescent="0.15">
      <c r="A365" s="5" t="s">
        <v>156</v>
      </c>
      <c r="B365" s="8" t="s">
        <v>2286</v>
      </c>
      <c r="C365" s="8" t="s">
        <v>2287</v>
      </c>
      <c r="D365" s="8" t="s">
        <v>2288</v>
      </c>
      <c r="E365" s="8" t="s">
        <v>374</v>
      </c>
      <c r="F365" s="5">
        <v>2025</v>
      </c>
      <c r="G365" s="5"/>
      <c r="H365" s="5"/>
      <c r="I365" s="8" t="s">
        <v>2289</v>
      </c>
      <c r="J365" s="13" t="s">
        <v>2290</v>
      </c>
      <c r="K365" s="8" t="s">
        <v>377</v>
      </c>
      <c r="L365" s="5" t="s">
        <v>233</v>
      </c>
      <c r="M365" s="8" t="s">
        <v>46</v>
      </c>
      <c r="N365" s="8" t="s">
        <v>256</v>
      </c>
      <c r="O365" s="8" t="s">
        <v>120</v>
      </c>
      <c r="P365" s="5">
        <v>3</v>
      </c>
      <c r="Q365" s="5"/>
      <c r="R365" s="5"/>
      <c r="S365" s="5"/>
      <c r="T365" s="5">
        <v>3</v>
      </c>
      <c r="U365" s="5">
        <v>2</v>
      </c>
      <c r="V365" s="5">
        <v>2</v>
      </c>
      <c r="W365" s="5">
        <v>0</v>
      </c>
      <c r="X365" s="16">
        <f>Lit_rev_final[[#This Row],[Foundationality_1_5]]*0.35+Lit_rev_final[[#This Row],[Topic_Fit_1_5]]*0.35+Lit_rev_final[[#This Row],[Outlet_Quality_1_5]]*0.2+(0.1*Lit_rev_final[[#This Row],[Bridge_Value_0_3]]/3*5)</f>
        <v>2.15</v>
      </c>
      <c r="Y365" s="10" t="s">
        <v>2101</v>
      </c>
      <c r="Z365" s="5" t="s">
        <v>156</v>
      </c>
      <c r="AA365" s="5" t="s">
        <v>46</v>
      </c>
      <c r="AB365" s="5" t="s">
        <v>46</v>
      </c>
      <c r="AC365" s="16" t="s">
        <v>2291</v>
      </c>
      <c r="AJ365" s="2"/>
    </row>
    <row r="366" spans="1:36" ht="30" customHeight="1" x14ac:dyDescent="0.15">
      <c r="A366" s="5" t="s">
        <v>156</v>
      </c>
      <c r="B366" s="8" t="s">
        <v>2292</v>
      </c>
      <c r="C366" s="8" t="s">
        <v>2293</v>
      </c>
      <c r="D366" s="8" t="s">
        <v>403</v>
      </c>
      <c r="E366" s="8"/>
      <c r="F366" s="5">
        <v>2025</v>
      </c>
      <c r="G366" s="5"/>
      <c r="H366" s="5"/>
      <c r="I366" s="8" t="s">
        <v>2294</v>
      </c>
      <c r="J366" s="13" t="s">
        <v>2295</v>
      </c>
      <c r="K366" s="8" t="s">
        <v>580</v>
      </c>
      <c r="L366" s="5" t="s">
        <v>233</v>
      </c>
      <c r="M366" s="8" t="s">
        <v>46</v>
      </c>
      <c r="N366" s="8" t="s">
        <v>256</v>
      </c>
      <c r="O366" s="8" t="s">
        <v>112</v>
      </c>
      <c r="P366" s="5">
        <v>3</v>
      </c>
      <c r="Q366" s="5"/>
      <c r="R366" s="5"/>
      <c r="S366" s="5"/>
      <c r="T366" s="5">
        <v>2</v>
      </c>
      <c r="U366" s="5">
        <v>2</v>
      </c>
      <c r="V366" s="5">
        <v>2</v>
      </c>
      <c r="W366" s="5">
        <v>1</v>
      </c>
      <c r="X366" s="16">
        <f>Lit_rev_final[[#This Row],[Foundationality_1_5]]*0.35+Lit_rev_final[[#This Row],[Topic_Fit_1_5]]*0.35+Lit_rev_final[[#This Row],[Outlet_Quality_1_5]]*0.2+(0.1*Lit_rev_final[[#This Row],[Bridge_Value_0_3]]/3*5)</f>
        <v>1.9666666666666666</v>
      </c>
      <c r="Y366" s="10" t="s">
        <v>2210</v>
      </c>
      <c r="Z366" s="5" t="s">
        <v>156</v>
      </c>
      <c r="AA366" s="5" t="s">
        <v>46</v>
      </c>
      <c r="AB366" s="5" t="s">
        <v>46</v>
      </c>
      <c r="AC366" s="16" t="s">
        <v>2296</v>
      </c>
      <c r="AJ366" s="2"/>
    </row>
    <row r="367" spans="1:36" ht="30" customHeight="1" x14ac:dyDescent="0.15">
      <c r="A367" s="5" t="s">
        <v>156</v>
      </c>
      <c r="B367" s="8" t="s">
        <v>2297</v>
      </c>
      <c r="C367" s="8" t="s">
        <v>2298</v>
      </c>
      <c r="D367" s="8" t="s">
        <v>2299</v>
      </c>
      <c r="E367" s="8"/>
      <c r="F367" s="5">
        <v>2025</v>
      </c>
      <c r="G367" s="5"/>
      <c r="H367" s="5"/>
      <c r="I367" s="8" t="s">
        <v>2300</v>
      </c>
      <c r="J367" s="13" t="s">
        <v>2301</v>
      </c>
      <c r="K367" s="8" t="s">
        <v>1285</v>
      </c>
      <c r="L367" s="5" t="s">
        <v>233</v>
      </c>
      <c r="M367" s="8" t="s">
        <v>46</v>
      </c>
      <c r="N367" s="8" t="s">
        <v>256</v>
      </c>
      <c r="O367" s="8" t="s">
        <v>112</v>
      </c>
      <c r="P367" s="5">
        <v>3</v>
      </c>
      <c r="Q367" s="5"/>
      <c r="R367" s="5"/>
      <c r="S367" s="5"/>
      <c r="T367" s="5">
        <v>2</v>
      </c>
      <c r="U367" s="5">
        <v>2</v>
      </c>
      <c r="V367" s="5">
        <v>2</v>
      </c>
      <c r="W367" s="5">
        <v>1</v>
      </c>
      <c r="X367" s="16">
        <f>Lit_rev_final[[#This Row],[Foundationality_1_5]]*0.35+Lit_rev_final[[#This Row],[Topic_Fit_1_5]]*0.35+Lit_rev_final[[#This Row],[Outlet_Quality_1_5]]*0.2+(0.1*Lit_rev_final[[#This Row],[Bridge_Value_0_3]]/3*5)</f>
        <v>1.9666666666666666</v>
      </c>
      <c r="Y367" s="10" t="s">
        <v>2210</v>
      </c>
      <c r="Z367" s="5" t="s">
        <v>156</v>
      </c>
      <c r="AA367" s="5" t="s">
        <v>46</v>
      </c>
      <c r="AB367" s="5" t="s">
        <v>46</v>
      </c>
      <c r="AC367" s="16" t="s">
        <v>2302</v>
      </c>
      <c r="AJ367" s="2"/>
    </row>
    <row r="368" spans="1:36" ht="30" customHeight="1" x14ac:dyDescent="0.15">
      <c r="A368" s="7" t="s">
        <v>30</v>
      </c>
      <c r="B368" s="8" t="s">
        <v>2303</v>
      </c>
      <c r="C368" s="8" t="s">
        <v>2304</v>
      </c>
      <c r="D368" s="8" t="s">
        <v>2305</v>
      </c>
      <c r="E368" s="8" t="s">
        <v>374</v>
      </c>
      <c r="F368" s="5">
        <v>2018</v>
      </c>
      <c r="G368" s="5">
        <v>426</v>
      </c>
      <c r="H368" s="5">
        <v>432</v>
      </c>
      <c r="I368" s="8" t="s">
        <v>2306</v>
      </c>
      <c r="J368" s="17" t="s">
        <v>2307</v>
      </c>
      <c r="K368" s="8" t="s">
        <v>232</v>
      </c>
      <c r="L368" s="5" t="s">
        <v>1219</v>
      </c>
      <c r="M368" s="8" t="s">
        <v>392</v>
      </c>
      <c r="N368" s="8" t="s">
        <v>256</v>
      </c>
      <c r="O368" s="8" t="s">
        <v>112</v>
      </c>
      <c r="P368" s="5">
        <v>2</v>
      </c>
      <c r="Q368" s="5"/>
      <c r="R368" s="5"/>
      <c r="S368" s="5"/>
      <c r="T368" s="5">
        <v>2</v>
      </c>
      <c r="U368" s="5">
        <v>2</v>
      </c>
      <c r="V368" s="5">
        <v>2</v>
      </c>
      <c r="W368" s="5">
        <v>1</v>
      </c>
      <c r="X368" s="16">
        <f>Lit_rev_final[[#This Row],[Foundationality_1_5]]*0.35+Lit_rev_final[[#This Row],[Topic_Fit_1_5]]*0.35+Lit_rev_final[[#This Row],[Outlet_Quality_1_5]]*0.2+(0.1*Lit_rev_final[[#This Row],[Bridge_Value_0_3]]/3*5)</f>
        <v>1.9666666666666666</v>
      </c>
      <c r="Y368" s="10" t="s">
        <v>633</v>
      </c>
      <c r="Z368" s="5" t="s">
        <v>156</v>
      </c>
      <c r="AA368" s="5" t="s">
        <v>46</v>
      </c>
      <c r="AB368" s="5" t="s">
        <v>46</v>
      </c>
      <c r="AC368" s="16" t="s">
        <v>2308</v>
      </c>
      <c r="AJ368" s="2"/>
    </row>
    <row r="369" spans="1:36" ht="30" customHeight="1" x14ac:dyDescent="0.15">
      <c r="A369" s="5" t="s">
        <v>156</v>
      </c>
      <c r="B369" s="8" t="s">
        <v>2309</v>
      </c>
      <c r="C369" s="8" t="s">
        <v>2310</v>
      </c>
      <c r="D369" s="8" t="s">
        <v>1007</v>
      </c>
      <c r="E369" s="8"/>
      <c r="F369" s="5">
        <v>2025</v>
      </c>
      <c r="G369" s="5"/>
      <c r="H369" s="5"/>
      <c r="I369" s="8" t="s">
        <v>2311</v>
      </c>
      <c r="J369" s="13" t="s">
        <v>2312</v>
      </c>
      <c r="K369" s="8" t="s">
        <v>580</v>
      </c>
      <c r="L369" s="5" t="s">
        <v>233</v>
      </c>
      <c r="M369" s="8" t="s">
        <v>46</v>
      </c>
      <c r="N369" s="8" t="s">
        <v>256</v>
      </c>
      <c r="O369" s="8" t="s">
        <v>112</v>
      </c>
      <c r="P369" s="5">
        <v>3</v>
      </c>
      <c r="Q369" s="5"/>
      <c r="R369" s="5"/>
      <c r="S369" s="5"/>
      <c r="T369" s="5">
        <v>2</v>
      </c>
      <c r="U369" s="5">
        <v>2</v>
      </c>
      <c r="V369" s="5">
        <v>2</v>
      </c>
      <c r="W369" s="5">
        <v>1</v>
      </c>
      <c r="X369" s="16">
        <f>Lit_rev_final[[#This Row],[Foundationality_1_5]]*0.35+Lit_rev_final[[#This Row],[Topic_Fit_1_5]]*0.35+Lit_rev_final[[#This Row],[Outlet_Quality_1_5]]*0.2+(0.1*Lit_rev_final[[#This Row],[Bridge_Value_0_3]]/3*5)</f>
        <v>1.9666666666666666</v>
      </c>
      <c r="Y369" s="10" t="s">
        <v>2210</v>
      </c>
      <c r="Z369" s="5" t="s">
        <v>156</v>
      </c>
      <c r="AA369" s="5" t="s">
        <v>46</v>
      </c>
      <c r="AB369" s="5" t="s">
        <v>46</v>
      </c>
      <c r="AC369" s="16" t="s">
        <v>2313</v>
      </c>
      <c r="AJ369" s="2"/>
    </row>
    <row r="370" spans="1:36" ht="30" customHeight="1" x14ac:dyDescent="0.15">
      <c r="A370" s="5" t="s">
        <v>156</v>
      </c>
      <c r="B370" s="8" t="s">
        <v>2314</v>
      </c>
      <c r="C370" s="8" t="s">
        <v>2315</v>
      </c>
      <c r="D370" s="8" t="s">
        <v>1105</v>
      </c>
      <c r="E370" s="8"/>
      <c r="F370" s="5">
        <v>2026</v>
      </c>
      <c r="G370" s="5"/>
      <c r="H370" s="5"/>
      <c r="I370" s="8" t="s">
        <v>2316</v>
      </c>
      <c r="J370" s="13" t="s">
        <v>2317</v>
      </c>
      <c r="K370" s="8" t="s">
        <v>580</v>
      </c>
      <c r="L370" s="5" t="s">
        <v>233</v>
      </c>
      <c r="M370" s="8" t="s">
        <v>46</v>
      </c>
      <c r="N370" s="8" t="s">
        <v>256</v>
      </c>
      <c r="O370" s="8" t="s">
        <v>112</v>
      </c>
      <c r="P370" s="5">
        <v>3</v>
      </c>
      <c r="Q370" s="5"/>
      <c r="R370" s="5"/>
      <c r="S370" s="5"/>
      <c r="T370" s="5">
        <v>2</v>
      </c>
      <c r="U370" s="5">
        <v>2</v>
      </c>
      <c r="V370" s="5">
        <v>2</v>
      </c>
      <c r="W370" s="5">
        <v>1</v>
      </c>
      <c r="X370" s="16">
        <f>Lit_rev_final[[#This Row],[Foundationality_1_5]]*0.35+Lit_rev_final[[#This Row],[Topic_Fit_1_5]]*0.35+Lit_rev_final[[#This Row],[Outlet_Quality_1_5]]*0.2+(0.1*Lit_rev_final[[#This Row],[Bridge_Value_0_3]]/3*5)</f>
        <v>1.9666666666666666</v>
      </c>
      <c r="Y370" s="10" t="s">
        <v>2216</v>
      </c>
      <c r="Z370" s="5" t="s">
        <v>156</v>
      </c>
      <c r="AA370" s="5" t="s">
        <v>46</v>
      </c>
      <c r="AB370" s="5" t="s">
        <v>46</v>
      </c>
      <c r="AC370" s="16" t="s">
        <v>2318</v>
      </c>
      <c r="AJ370" s="2"/>
    </row>
    <row r="371" spans="1:36" ht="30" customHeight="1" x14ac:dyDescent="0.15">
      <c r="A371" s="5" t="s">
        <v>156</v>
      </c>
      <c r="B371" s="8" t="s">
        <v>2319</v>
      </c>
      <c r="C371" s="8" t="s">
        <v>2320</v>
      </c>
      <c r="D371" s="8" t="s">
        <v>2321</v>
      </c>
      <c r="E371" s="8" t="s">
        <v>2322</v>
      </c>
      <c r="F371" s="5">
        <v>2024</v>
      </c>
      <c r="G371" s="5"/>
      <c r="H371" s="5"/>
      <c r="I371" s="8" t="s">
        <v>2323</v>
      </c>
      <c r="J371" s="13" t="s">
        <v>2324</v>
      </c>
      <c r="K371" s="8" t="s">
        <v>303</v>
      </c>
      <c r="L371" s="5" t="s">
        <v>233</v>
      </c>
      <c r="M371" s="8" t="s">
        <v>234</v>
      </c>
      <c r="N371" s="8" t="s">
        <v>256</v>
      </c>
      <c r="O371" s="8" t="s">
        <v>112</v>
      </c>
      <c r="P371" s="5">
        <v>3</v>
      </c>
      <c r="Q371" s="5"/>
      <c r="R371" s="5"/>
      <c r="S371" s="5"/>
      <c r="T371" s="5">
        <v>2</v>
      </c>
      <c r="U371" s="5">
        <v>2</v>
      </c>
      <c r="V371" s="5">
        <v>2</v>
      </c>
      <c r="W371" s="5">
        <v>1</v>
      </c>
      <c r="X371" s="16">
        <f>Lit_rev_final[[#This Row],[Foundationality_1_5]]*0.35+Lit_rev_final[[#This Row],[Topic_Fit_1_5]]*0.35+Lit_rev_final[[#This Row],[Outlet_Quality_1_5]]*0.2+(0.1*Lit_rev_final[[#This Row],[Bridge_Value_0_3]]/3*5)</f>
        <v>1.9666666666666666</v>
      </c>
      <c r="Y371" s="10" t="s">
        <v>2216</v>
      </c>
      <c r="Z371" s="5" t="s">
        <v>156</v>
      </c>
      <c r="AA371" s="5" t="s">
        <v>46</v>
      </c>
      <c r="AB371" s="5" t="s">
        <v>46</v>
      </c>
      <c r="AC371" s="16" t="s">
        <v>2325</v>
      </c>
      <c r="AJ371" s="2"/>
    </row>
    <row r="372" spans="1:36" ht="30" customHeight="1" x14ac:dyDescent="0.15">
      <c r="A372" s="5" t="s">
        <v>156</v>
      </c>
      <c r="B372" s="8" t="s">
        <v>2326</v>
      </c>
      <c r="C372" s="8" t="s">
        <v>2327</v>
      </c>
      <c r="D372" s="8" t="s">
        <v>2328</v>
      </c>
      <c r="E372" s="8" t="s">
        <v>2329</v>
      </c>
      <c r="F372" s="5">
        <v>2025</v>
      </c>
      <c r="G372" s="5"/>
      <c r="H372" s="5"/>
      <c r="I372" s="8" t="s">
        <v>2330</v>
      </c>
      <c r="J372" s="13" t="s">
        <v>2331</v>
      </c>
      <c r="K372" s="8" t="s">
        <v>303</v>
      </c>
      <c r="L372" s="5" t="s">
        <v>233</v>
      </c>
      <c r="M372" s="8" t="s">
        <v>234</v>
      </c>
      <c r="N372" s="8" t="s">
        <v>256</v>
      </c>
      <c r="O372" s="8" t="s">
        <v>112</v>
      </c>
      <c r="P372" s="5">
        <v>3</v>
      </c>
      <c r="Q372" s="5"/>
      <c r="R372" s="5"/>
      <c r="S372" s="5"/>
      <c r="T372" s="5">
        <v>2</v>
      </c>
      <c r="U372" s="5">
        <v>2</v>
      </c>
      <c r="V372" s="5">
        <v>2</v>
      </c>
      <c r="W372" s="5">
        <v>1</v>
      </c>
      <c r="X372" s="16">
        <f>Lit_rev_final[[#This Row],[Foundationality_1_5]]*0.35+Lit_rev_final[[#This Row],[Topic_Fit_1_5]]*0.35+Lit_rev_final[[#This Row],[Outlet_Quality_1_5]]*0.2+(0.1*Lit_rev_final[[#This Row],[Bridge_Value_0_3]]/3*5)</f>
        <v>1.9666666666666666</v>
      </c>
      <c r="Y372" s="10" t="s">
        <v>2216</v>
      </c>
      <c r="Z372" s="5" t="s">
        <v>156</v>
      </c>
      <c r="AA372" s="5" t="s">
        <v>46</v>
      </c>
      <c r="AB372" s="5" t="s">
        <v>46</v>
      </c>
      <c r="AC372" s="16" t="s">
        <v>2332</v>
      </c>
      <c r="AJ372" s="2"/>
    </row>
    <row r="373" spans="1:36" ht="30" customHeight="1" x14ac:dyDescent="0.15">
      <c r="A373" s="5" t="s">
        <v>156</v>
      </c>
      <c r="B373" s="8" t="s">
        <v>2333</v>
      </c>
      <c r="C373" s="8" t="s">
        <v>2334</v>
      </c>
      <c r="D373" s="8" t="s">
        <v>2335</v>
      </c>
      <c r="E373" s="8" t="s">
        <v>2336</v>
      </c>
      <c r="F373" s="5">
        <v>2023</v>
      </c>
      <c r="G373" s="5"/>
      <c r="H373" s="5"/>
      <c r="I373" s="8" t="s">
        <v>2337</v>
      </c>
      <c r="J373" s="13" t="s">
        <v>2338</v>
      </c>
      <c r="K373" s="8" t="s">
        <v>303</v>
      </c>
      <c r="L373" s="5" t="s">
        <v>233</v>
      </c>
      <c r="M373" s="8" t="s">
        <v>234</v>
      </c>
      <c r="N373" s="8" t="s">
        <v>256</v>
      </c>
      <c r="O373" s="8" t="s">
        <v>112</v>
      </c>
      <c r="P373" s="5">
        <v>3</v>
      </c>
      <c r="Q373" s="5"/>
      <c r="R373" s="5"/>
      <c r="S373" s="5"/>
      <c r="T373" s="5">
        <v>2</v>
      </c>
      <c r="U373" s="5">
        <v>2</v>
      </c>
      <c r="V373" s="5">
        <v>2</v>
      </c>
      <c r="W373" s="5">
        <v>1</v>
      </c>
      <c r="X373" s="16">
        <f>Lit_rev_final[[#This Row],[Foundationality_1_5]]*0.35+Lit_rev_final[[#This Row],[Topic_Fit_1_5]]*0.35+Lit_rev_final[[#This Row],[Outlet_Quality_1_5]]*0.2+(0.1*Lit_rev_final[[#This Row],[Bridge_Value_0_3]]/3*5)</f>
        <v>1.9666666666666666</v>
      </c>
      <c r="Y373" s="10" t="s">
        <v>2216</v>
      </c>
      <c r="Z373" s="5" t="s">
        <v>156</v>
      </c>
      <c r="AA373" s="5" t="s">
        <v>46</v>
      </c>
      <c r="AB373" s="5" t="s">
        <v>46</v>
      </c>
      <c r="AC373" s="16" t="s">
        <v>2339</v>
      </c>
      <c r="AJ373" s="2"/>
    </row>
    <row r="374" spans="1:36" ht="30" customHeight="1" x14ac:dyDescent="0.15">
      <c r="A374" s="5" t="s">
        <v>156</v>
      </c>
      <c r="B374" s="8" t="s">
        <v>2340</v>
      </c>
      <c r="C374" s="8" t="s">
        <v>2341</v>
      </c>
      <c r="D374" s="8" t="s">
        <v>403</v>
      </c>
      <c r="E374" s="8"/>
      <c r="F374" s="5">
        <v>2026</v>
      </c>
      <c r="G374" s="5"/>
      <c r="H374" s="5"/>
      <c r="I374" s="8" t="s">
        <v>2342</v>
      </c>
      <c r="J374" s="13" t="s">
        <v>2343</v>
      </c>
      <c r="K374" s="8" t="s">
        <v>580</v>
      </c>
      <c r="L374" s="5" t="s">
        <v>233</v>
      </c>
      <c r="M374" s="8" t="s">
        <v>46</v>
      </c>
      <c r="N374" s="8" t="s">
        <v>256</v>
      </c>
      <c r="O374" s="8" t="s">
        <v>112</v>
      </c>
      <c r="P374" s="5">
        <v>3</v>
      </c>
      <c r="Q374" s="5"/>
      <c r="R374" s="5"/>
      <c r="S374" s="5"/>
      <c r="T374" s="5">
        <v>2</v>
      </c>
      <c r="U374" s="5">
        <v>2</v>
      </c>
      <c r="V374" s="5">
        <v>2</v>
      </c>
      <c r="W374" s="5">
        <v>1</v>
      </c>
      <c r="X374" s="16">
        <f>Lit_rev_final[[#This Row],[Foundationality_1_5]]*0.35+Lit_rev_final[[#This Row],[Topic_Fit_1_5]]*0.35+Lit_rev_final[[#This Row],[Outlet_Quality_1_5]]*0.2+(0.1*Lit_rev_final[[#This Row],[Bridge_Value_0_3]]/3*5)</f>
        <v>1.9666666666666666</v>
      </c>
      <c r="Y374" s="10" t="s">
        <v>2210</v>
      </c>
      <c r="Z374" s="5" t="s">
        <v>156</v>
      </c>
      <c r="AA374" s="5" t="s">
        <v>46</v>
      </c>
      <c r="AB374" s="5" t="s">
        <v>46</v>
      </c>
      <c r="AC374" s="16" t="s">
        <v>2344</v>
      </c>
      <c r="AJ374" s="2"/>
    </row>
    <row r="375" spans="1:36" ht="30" customHeight="1" x14ac:dyDescent="0.15">
      <c r="A375" s="7" t="s">
        <v>30</v>
      </c>
      <c r="B375" s="8" t="s">
        <v>2345</v>
      </c>
      <c r="C375" s="8" t="s">
        <v>2346</v>
      </c>
      <c r="D375" s="8" t="s">
        <v>2105</v>
      </c>
      <c r="E375" s="8" t="s">
        <v>2106</v>
      </c>
      <c r="F375" s="5">
        <v>2023</v>
      </c>
      <c r="G375" s="5"/>
      <c r="H375" s="5"/>
      <c r="I375" s="8" t="s">
        <v>46</v>
      </c>
      <c r="J375" s="13" t="s">
        <v>2347</v>
      </c>
      <c r="K375" s="8" t="s">
        <v>2106</v>
      </c>
      <c r="L375" s="5" t="s">
        <v>233</v>
      </c>
      <c r="M375" s="8" t="s">
        <v>2348</v>
      </c>
      <c r="N375" s="8" t="s">
        <v>2109</v>
      </c>
      <c r="O375" s="8" t="s">
        <v>112</v>
      </c>
      <c r="P375" s="5">
        <v>2</v>
      </c>
      <c r="Q375" s="5"/>
      <c r="R375" s="5"/>
      <c r="S375" s="5"/>
      <c r="T375" s="5">
        <v>2</v>
      </c>
      <c r="U375" s="5">
        <v>2</v>
      </c>
      <c r="V375" s="5">
        <v>2</v>
      </c>
      <c r="W375" s="5">
        <v>1</v>
      </c>
      <c r="X375" s="16">
        <f>Lit_rev_final[[#This Row],[Foundationality_1_5]]*0.35+Lit_rev_final[[#This Row],[Topic_Fit_1_5]]*0.35+Lit_rev_final[[#This Row],[Outlet_Quality_1_5]]*0.2+(0.1*Lit_rev_final[[#This Row],[Bridge_Value_0_3]]/3*5)</f>
        <v>1.9666666666666666</v>
      </c>
      <c r="Y375" s="10" t="s">
        <v>2216</v>
      </c>
      <c r="Z375" s="14" t="s">
        <v>30</v>
      </c>
      <c r="AA375" s="14" t="s">
        <v>162</v>
      </c>
      <c r="AB375" s="15" t="s">
        <v>148</v>
      </c>
      <c r="AC375" s="16" t="s">
        <v>1096</v>
      </c>
      <c r="AJ375" s="2"/>
    </row>
    <row r="376" spans="1:36" ht="30" customHeight="1" x14ac:dyDescent="0.15">
      <c r="A376" s="7" t="s">
        <v>30</v>
      </c>
      <c r="B376" s="8" t="s">
        <v>2349</v>
      </c>
      <c r="C376" s="8" t="s">
        <v>2350</v>
      </c>
      <c r="D376" s="8" t="s">
        <v>2105</v>
      </c>
      <c r="E376" s="8" t="s">
        <v>2106</v>
      </c>
      <c r="F376" s="5">
        <v>2023</v>
      </c>
      <c r="G376" s="5"/>
      <c r="H376" s="5"/>
      <c r="I376" s="8" t="s">
        <v>46</v>
      </c>
      <c r="J376" s="13" t="s">
        <v>2351</v>
      </c>
      <c r="K376" s="8" t="s">
        <v>2106</v>
      </c>
      <c r="L376" s="5" t="s">
        <v>233</v>
      </c>
      <c r="M376" s="8" t="s">
        <v>2352</v>
      </c>
      <c r="N376" s="8" t="s">
        <v>2109</v>
      </c>
      <c r="O376" s="8" t="s">
        <v>112</v>
      </c>
      <c r="P376" s="5">
        <v>2</v>
      </c>
      <c r="Q376" s="5"/>
      <c r="R376" s="5"/>
      <c r="S376" s="5"/>
      <c r="T376" s="5">
        <v>2</v>
      </c>
      <c r="U376" s="5">
        <v>2</v>
      </c>
      <c r="V376" s="5">
        <v>2</v>
      </c>
      <c r="W376" s="5">
        <v>1</v>
      </c>
      <c r="X376" s="16">
        <f>Lit_rev_final[[#This Row],[Foundationality_1_5]]*0.35+Lit_rev_final[[#This Row],[Topic_Fit_1_5]]*0.35+Lit_rev_final[[#This Row],[Outlet_Quality_1_5]]*0.2+(0.1*Lit_rev_final[[#This Row],[Bridge_Value_0_3]]/3*5)</f>
        <v>1.9666666666666666</v>
      </c>
      <c r="Y376" s="10" t="s">
        <v>2216</v>
      </c>
      <c r="Z376" s="14" t="s">
        <v>30</v>
      </c>
      <c r="AA376" s="14" t="s">
        <v>162</v>
      </c>
      <c r="AB376" s="15" t="s">
        <v>148</v>
      </c>
      <c r="AC376" s="16" t="s">
        <v>2063</v>
      </c>
      <c r="AJ376" s="2"/>
    </row>
    <row r="377" spans="1:36" ht="30" customHeight="1" x14ac:dyDescent="0.15">
      <c r="A377" s="7" t="s">
        <v>30</v>
      </c>
      <c r="B377" s="8" t="s">
        <v>2353</v>
      </c>
      <c r="C377" s="8" t="s">
        <v>2350</v>
      </c>
      <c r="D377" s="8" t="s">
        <v>2105</v>
      </c>
      <c r="E377" s="8" t="s">
        <v>2106</v>
      </c>
      <c r="F377" s="5">
        <v>2023</v>
      </c>
      <c r="G377" s="5"/>
      <c r="H377" s="5"/>
      <c r="I377" s="8" t="s">
        <v>46</v>
      </c>
      <c r="J377" s="13" t="s">
        <v>2354</v>
      </c>
      <c r="K377" s="8" t="s">
        <v>2106</v>
      </c>
      <c r="L377" s="5" t="s">
        <v>233</v>
      </c>
      <c r="M377" s="8" t="s">
        <v>2352</v>
      </c>
      <c r="N377" s="8" t="s">
        <v>2109</v>
      </c>
      <c r="O377" s="8" t="s">
        <v>112</v>
      </c>
      <c r="P377" s="5">
        <v>2</v>
      </c>
      <c r="Q377" s="5"/>
      <c r="R377" s="5"/>
      <c r="S377" s="5"/>
      <c r="T377" s="5">
        <v>2</v>
      </c>
      <c r="U377" s="5">
        <v>2</v>
      </c>
      <c r="V377" s="5">
        <v>2</v>
      </c>
      <c r="W377" s="5">
        <v>1</v>
      </c>
      <c r="X377" s="16">
        <f>Lit_rev_final[[#This Row],[Foundationality_1_5]]*0.35+Lit_rev_final[[#This Row],[Topic_Fit_1_5]]*0.35+Lit_rev_final[[#This Row],[Outlet_Quality_1_5]]*0.2+(0.1*Lit_rev_final[[#This Row],[Bridge_Value_0_3]]/3*5)</f>
        <v>1.9666666666666666</v>
      </c>
      <c r="Y377" s="10" t="s">
        <v>2216</v>
      </c>
      <c r="Z377" s="14" t="s">
        <v>30</v>
      </c>
      <c r="AA377" s="14" t="s">
        <v>162</v>
      </c>
      <c r="AB377" s="15" t="s">
        <v>148</v>
      </c>
      <c r="AC377" s="16" t="s">
        <v>840</v>
      </c>
      <c r="AJ377" s="2"/>
    </row>
    <row r="378" spans="1:36" ht="30" customHeight="1" x14ac:dyDescent="0.15">
      <c r="A378" s="5" t="s">
        <v>156</v>
      </c>
      <c r="B378" s="8" t="s">
        <v>2355</v>
      </c>
      <c r="C378" s="8" t="s">
        <v>2356</v>
      </c>
      <c r="D378" s="8" t="s">
        <v>2357</v>
      </c>
      <c r="E378" s="8"/>
      <c r="F378" s="5">
        <v>2026</v>
      </c>
      <c r="G378" s="5"/>
      <c r="H378" s="5"/>
      <c r="I378" s="8" t="s">
        <v>2358</v>
      </c>
      <c r="J378" s="13" t="s">
        <v>2359</v>
      </c>
      <c r="K378" s="8" t="s">
        <v>580</v>
      </c>
      <c r="L378" s="5" t="s">
        <v>233</v>
      </c>
      <c r="M378" s="8" t="s">
        <v>46</v>
      </c>
      <c r="N378" s="8" t="s">
        <v>256</v>
      </c>
      <c r="O378" s="8" t="s">
        <v>112</v>
      </c>
      <c r="P378" s="5">
        <v>3</v>
      </c>
      <c r="Q378" s="5"/>
      <c r="R378" s="5"/>
      <c r="S378" s="5"/>
      <c r="T378" s="5">
        <v>2</v>
      </c>
      <c r="U378" s="5">
        <v>2</v>
      </c>
      <c r="V378" s="5">
        <v>2</v>
      </c>
      <c r="W378" s="5">
        <v>1</v>
      </c>
      <c r="X378" s="16">
        <f>Lit_rev_final[[#This Row],[Foundationality_1_5]]*0.35+Lit_rev_final[[#This Row],[Topic_Fit_1_5]]*0.35+Lit_rev_final[[#This Row],[Outlet_Quality_1_5]]*0.2+(0.1*Lit_rev_final[[#This Row],[Bridge_Value_0_3]]/3*5)</f>
        <v>1.9666666666666666</v>
      </c>
      <c r="Y378" s="10" t="s">
        <v>2216</v>
      </c>
      <c r="Z378" s="5" t="s">
        <v>156</v>
      </c>
      <c r="AA378" s="5" t="s">
        <v>46</v>
      </c>
      <c r="AB378" s="5" t="s">
        <v>46</v>
      </c>
      <c r="AC378" s="16" t="s">
        <v>2360</v>
      </c>
      <c r="AJ378" s="2"/>
    </row>
    <row r="379" spans="1:36" ht="30" customHeight="1" x14ac:dyDescent="0.15">
      <c r="A379" s="5" t="s">
        <v>156</v>
      </c>
      <c r="B379" s="8" t="s">
        <v>2361</v>
      </c>
      <c r="C379" s="8" t="s">
        <v>2362</v>
      </c>
      <c r="D379" s="8" t="s">
        <v>2363</v>
      </c>
      <c r="E379" s="8"/>
      <c r="F379" s="5">
        <v>2023</v>
      </c>
      <c r="G379" s="5"/>
      <c r="H379" s="5"/>
      <c r="I379" s="8" t="s">
        <v>2364</v>
      </c>
      <c r="J379" s="13" t="s">
        <v>2365</v>
      </c>
      <c r="K379" s="8" t="s">
        <v>580</v>
      </c>
      <c r="L379" s="5" t="s">
        <v>233</v>
      </c>
      <c r="M379" s="8" t="s">
        <v>46</v>
      </c>
      <c r="N379" s="8" t="s">
        <v>256</v>
      </c>
      <c r="O379" s="8" t="s">
        <v>112</v>
      </c>
      <c r="P379" s="5">
        <v>3</v>
      </c>
      <c r="Q379" s="5"/>
      <c r="R379" s="5"/>
      <c r="S379" s="5"/>
      <c r="T379" s="5">
        <v>2</v>
      </c>
      <c r="U379" s="5">
        <v>2</v>
      </c>
      <c r="V379" s="5">
        <v>2</v>
      </c>
      <c r="W379" s="5">
        <v>1</v>
      </c>
      <c r="X379" s="16">
        <f>Lit_rev_final[[#This Row],[Foundationality_1_5]]*0.35+Lit_rev_final[[#This Row],[Topic_Fit_1_5]]*0.35+Lit_rev_final[[#This Row],[Outlet_Quality_1_5]]*0.2+(0.1*Lit_rev_final[[#This Row],[Bridge_Value_0_3]]/3*5)</f>
        <v>1.9666666666666666</v>
      </c>
      <c r="Y379" s="10" t="s">
        <v>2216</v>
      </c>
      <c r="Z379" s="5" t="s">
        <v>156</v>
      </c>
      <c r="AA379" s="5" t="s">
        <v>46</v>
      </c>
      <c r="AB379" s="5" t="s">
        <v>46</v>
      </c>
      <c r="AC379" s="16" t="s">
        <v>2366</v>
      </c>
      <c r="AJ379" s="2"/>
    </row>
    <row r="380" spans="1:36" ht="30" customHeight="1" x14ac:dyDescent="0.15">
      <c r="A380" s="5" t="s">
        <v>156</v>
      </c>
      <c r="B380" s="8" t="s">
        <v>2367</v>
      </c>
      <c r="C380" s="8" t="s">
        <v>2368</v>
      </c>
      <c r="D380" s="8" t="s">
        <v>2369</v>
      </c>
      <c r="E380" s="8"/>
      <c r="F380" s="5">
        <v>2024</v>
      </c>
      <c r="G380" s="5"/>
      <c r="H380" s="5"/>
      <c r="I380" s="8" t="s">
        <v>2370</v>
      </c>
      <c r="J380" s="13" t="s">
        <v>2371</v>
      </c>
      <c r="K380" s="8" t="s">
        <v>912</v>
      </c>
      <c r="L380" s="5" t="s">
        <v>233</v>
      </c>
      <c r="M380" s="8" t="s">
        <v>46</v>
      </c>
      <c r="N380" s="8" t="s">
        <v>256</v>
      </c>
      <c r="O380" s="8" t="s">
        <v>112</v>
      </c>
      <c r="P380" s="5">
        <v>3</v>
      </c>
      <c r="Q380" s="5"/>
      <c r="R380" s="5"/>
      <c r="S380" s="5"/>
      <c r="T380" s="5">
        <v>2</v>
      </c>
      <c r="U380" s="5">
        <v>2</v>
      </c>
      <c r="V380" s="5">
        <v>2</v>
      </c>
      <c r="W380" s="5">
        <v>1</v>
      </c>
      <c r="X380" s="16">
        <f>Lit_rev_final[[#This Row],[Foundationality_1_5]]*0.35+Lit_rev_final[[#This Row],[Topic_Fit_1_5]]*0.35+Lit_rev_final[[#This Row],[Outlet_Quality_1_5]]*0.2+(0.1*Lit_rev_final[[#This Row],[Bridge_Value_0_3]]/3*5)</f>
        <v>1.9666666666666666</v>
      </c>
      <c r="Y380" s="10" t="s">
        <v>2210</v>
      </c>
      <c r="Z380" s="5" t="s">
        <v>156</v>
      </c>
      <c r="AA380" s="5" t="s">
        <v>46</v>
      </c>
      <c r="AB380" s="5" t="s">
        <v>46</v>
      </c>
      <c r="AC380" s="16" t="s">
        <v>2372</v>
      </c>
      <c r="AJ380" s="2"/>
    </row>
    <row r="381" spans="1:36" ht="30" customHeight="1" x14ac:dyDescent="0.15">
      <c r="A381" s="5" t="s">
        <v>156</v>
      </c>
      <c r="B381" s="8" t="s">
        <v>2373</v>
      </c>
      <c r="C381" s="8" t="s">
        <v>2374</v>
      </c>
      <c r="D381" s="8" t="s">
        <v>2375</v>
      </c>
      <c r="E381" s="8"/>
      <c r="F381" s="5">
        <v>2025</v>
      </c>
      <c r="G381" s="5"/>
      <c r="H381" s="5"/>
      <c r="I381" s="8" t="s">
        <v>2376</v>
      </c>
      <c r="J381" s="13" t="s">
        <v>2377</v>
      </c>
      <c r="K381" s="8" t="s">
        <v>580</v>
      </c>
      <c r="L381" s="5" t="s">
        <v>233</v>
      </c>
      <c r="M381" s="8" t="s">
        <v>46</v>
      </c>
      <c r="N381" s="8" t="s">
        <v>256</v>
      </c>
      <c r="O381" s="8" t="s">
        <v>112</v>
      </c>
      <c r="P381" s="5">
        <v>3</v>
      </c>
      <c r="Q381" s="5"/>
      <c r="R381" s="5"/>
      <c r="S381" s="5"/>
      <c r="T381" s="5">
        <v>2</v>
      </c>
      <c r="U381" s="5">
        <v>2</v>
      </c>
      <c r="V381" s="5">
        <v>2</v>
      </c>
      <c r="W381" s="5">
        <v>1</v>
      </c>
      <c r="X381" s="16">
        <f>Lit_rev_final[[#This Row],[Foundationality_1_5]]*0.35+Lit_rev_final[[#This Row],[Topic_Fit_1_5]]*0.35+Lit_rev_final[[#This Row],[Outlet_Quality_1_5]]*0.2+(0.1*Lit_rev_final[[#This Row],[Bridge_Value_0_3]]/3*5)</f>
        <v>1.9666666666666666</v>
      </c>
      <c r="Y381" s="10" t="s">
        <v>2210</v>
      </c>
      <c r="Z381" s="5" t="s">
        <v>156</v>
      </c>
      <c r="AA381" s="5" t="s">
        <v>46</v>
      </c>
      <c r="AB381" s="5" t="s">
        <v>46</v>
      </c>
      <c r="AC381" s="16" t="s">
        <v>2378</v>
      </c>
      <c r="AJ381" s="2"/>
    </row>
    <row r="382" spans="1:36" ht="30" customHeight="1" x14ac:dyDescent="0.15">
      <c r="A382" s="5" t="s">
        <v>156</v>
      </c>
      <c r="B382" s="8" t="s">
        <v>2379</v>
      </c>
      <c r="C382" s="8" t="s">
        <v>2380</v>
      </c>
      <c r="D382" s="8" t="s">
        <v>2381</v>
      </c>
      <c r="E382" s="8"/>
      <c r="F382" s="5">
        <v>2026</v>
      </c>
      <c r="G382" s="5"/>
      <c r="H382" s="5"/>
      <c r="I382" s="8" t="s">
        <v>2382</v>
      </c>
      <c r="J382" s="13" t="s">
        <v>2383</v>
      </c>
      <c r="K382" s="8" t="s">
        <v>580</v>
      </c>
      <c r="L382" s="5" t="s">
        <v>233</v>
      </c>
      <c r="M382" s="8" t="s">
        <v>46</v>
      </c>
      <c r="N382" s="8" t="s">
        <v>256</v>
      </c>
      <c r="O382" s="8" t="s">
        <v>112</v>
      </c>
      <c r="P382" s="5">
        <v>3</v>
      </c>
      <c r="Q382" s="5"/>
      <c r="R382" s="5"/>
      <c r="S382" s="5"/>
      <c r="T382" s="5">
        <v>2</v>
      </c>
      <c r="U382" s="5">
        <v>2</v>
      </c>
      <c r="V382" s="5">
        <v>2</v>
      </c>
      <c r="W382" s="5">
        <v>1</v>
      </c>
      <c r="X382" s="16">
        <f>Lit_rev_final[[#This Row],[Foundationality_1_5]]*0.35+Lit_rev_final[[#This Row],[Topic_Fit_1_5]]*0.35+Lit_rev_final[[#This Row],[Outlet_Quality_1_5]]*0.2+(0.1*Lit_rev_final[[#This Row],[Bridge_Value_0_3]]/3*5)</f>
        <v>1.9666666666666666</v>
      </c>
      <c r="Y382" s="10" t="s">
        <v>2216</v>
      </c>
      <c r="Z382" s="5" t="s">
        <v>156</v>
      </c>
      <c r="AA382" s="5" t="s">
        <v>46</v>
      </c>
      <c r="AB382" s="5" t="s">
        <v>46</v>
      </c>
      <c r="AC382" s="16" t="s">
        <v>2384</v>
      </c>
      <c r="AJ382" s="2"/>
    </row>
    <row r="383" spans="1:36" ht="30" customHeight="1" x14ac:dyDescent="0.15">
      <c r="A383" s="7" t="s">
        <v>30</v>
      </c>
      <c r="B383" s="8" t="s">
        <v>2385</v>
      </c>
      <c r="C383" s="8" t="s">
        <v>2386</v>
      </c>
      <c r="D383" s="8" t="s">
        <v>2387</v>
      </c>
      <c r="E383" s="8" t="s">
        <v>389</v>
      </c>
      <c r="F383" s="5">
        <v>2025</v>
      </c>
      <c r="G383" s="5">
        <v>436</v>
      </c>
      <c r="H383" s="5">
        <v>445</v>
      </c>
      <c r="I383" s="8" t="s">
        <v>2388</v>
      </c>
      <c r="J383" s="13" t="s">
        <v>2389</v>
      </c>
      <c r="K383" s="8" t="s">
        <v>232</v>
      </c>
      <c r="L383" s="5" t="s">
        <v>1219</v>
      </c>
      <c r="M383" s="8" t="s">
        <v>392</v>
      </c>
      <c r="N383" s="8" t="s">
        <v>256</v>
      </c>
      <c r="O383" s="8" t="s">
        <v>112</v>
      </c>
      <c r="P383" s="5">
        <v>3</v>
      </c>
      <c r="Q383" s="5"/>
      <c r="R383" s="5"/>
      <c r="S383" s="5"/>
      <c r="T383" s="5">
        <v>3</v>
      </c>
      <c r="U383" s="5">
        <v>2</v>
      </c>
      <c r="V383" s="5">
        <v>1</v>
      </c>
      <c r="W383" s="5">
        <v>0</v>
      </c>
      <c r="X383" s="16">
        <f>Lit_rev_final[[#This Row],[Foundationality_1_5]]*0.35+Lit_rev_final[[#This Row],[Topic_Fit_1_5]]*0.35+Lit_rev_final[[#This Row],[Outlet_Quality_1_5]]*0.2+(0.1*Lit_rev_final[[#This Row],[Bridge_Value_0_3]]/3*5)</f>
        <v>1.9499999999999997</v>
      </c>
      <c r="Y383" s="10" t="s">
        <v>2390</v>
      </c>
      <c r="Z383" s="5" t="s">
        <v>156</v>
      </c>
      <c r="AA383" s="5" t="s">
        <v>46</v>
      </c>
      <c r="AB383" s="5" t="s">
        <v>46</v>
      </c>
      <c r="AC383" s="16" t="s">
        <v>2391</v>
      </c>
      <c r="AJ383" s="2"/>
    </row>
    <row r="384" spans="1:36" ht="30" customHeight="1" x14ac:dyDescent="0.15">
      <c r="A384" s="7" t="s">
        <v>30</v>
      </c>
      <c r="B384" s="8" t="s">
        <v>2392</v>
      </c>
      <c r="C384" s="8" t="s">
        <v>2393</v>
      </c>
      <c r="D384" s="8" t="s">
        <v>436</v>
      </c>
      <c r="E384" s="8" t="s">
        <v>331</v>
      </c>
      <c r="F384" s="5">
        <v>2024</v>
      </c>
      <c r="G384" s="5">
        <v>235</v>
      </c>
      <c r="H384" s="5">
        <v>240</v>
      </c>
      <c r="I384" s="8" t="s">
        <v>2394</v>
      </c>
      <c r="J384" s="13" t="s">
        <v>2395</v>
      </c>
      <c r="K384" s="8" t="s">
        <v>232</v>
      </c>
      <c r="L384" s="5" t="s">
        <v>233</v>
      </c>
      <c r="M384" s="8" t="s">
        <v>392</v>
      </c>
      <c r="N384" s="8" t="s">
        <v>256</v>
      </c>
      <c r="O384" s="8" t="s">
        <v>120</v>
      </c>
      <c r="P384" s="5">
        <v>3</v>
      </c>
      <c r="Q384" s="5"/>
      <c r="R384" s="5"/>
      <c r="S384" s="5"/>
      <c r="T384" s="5">
        <v>3</v>
      </c>
      <c r="U384" s="5">
        <v>2</v>
      </c>
      <c r="V384" s="5">
        <v>1</v>
      </c>
      <c r="W384" s="5">
        <v>0</v>
      </c>
      <c r="X384" s="16">
        <f>Lit_rev_final[[#This Row],[Foundationality_1_5]]*0.35+Lit_rev_final[[#This Row],[Topic_Fit_1_5]]*0.35+Lit_rev_final[[#This Row],[Outlet_Quality_1_5]]*0.2+(0.1*Lit_rev_final[[#This Row],[Bridge_Value_0_3]]/3*5)</f>
        <v>1.9499999999999997</v>
      </c>
      <c r="Y384" s="10" t="s">
        <v>581</v>
      </c>
      <c r="Z384" s="5" t="s">
        <v>156</v>
      </c>
      <c r="AA384" s="5" t="s">
        <v>46</v>
      </c>
      <c r="AB384" s="5" t="s">
        <v>46</v>
      </c>
      <c r="AC384" s="16" t="s">
        <v>2396</v>
      </c>
      <c r="AJ384" s="2"/>
    </row>
    <row r="385" spans="1:36" ht="30" customHeight="1" x14ac:dyDescent="0.15">
      <c r="A385" s="5" t="s">
        <v>156</v>
      </c>
      <c r="B385" s="8" t="s">
        <v>2397</v>
      </c>
      <c r="C385" s="8" t="s">
        <v>2398</v>
      </c>
      <c r="D385" s="8" t="s">
        <v>2399</v>
      </c>
      <c r="E385" s="8"/>
      <c r="F385" s="5">
        <v>2025</v>
      </c>
      <c r="G385" s="5"/>
      <c r="H385" s="5"/>
      <c r="I385" s="8" t="s">
        <v>2400</v>
      </c>
      <c r="J385" s="13" t="s">
        <v>2401</v>
      </c>
      <c r="K385" s="8" t="s">
        <v>580</v>
      </c>
      <c r="L385" s="5" t="s">
        <v>233</v>
      </c>
      <c r="M385" s="8" t="s">
        <v>46</v>
      </c>
      <c r="N385" s="8" t="s">
        <v>256</v>
      </c>
      <c r="O385" s="8" t="s">
        <v>112</v>
      </c>
      <c r="P385" s="5">
        <v>3</v>
      </c>
      <c r="Q385" s="5"/>
      <c r="R385" s="5"/>
      <c r="S385" s="5"/>
      <c r="T385" s="5">
        <v>2</v>
      </c>
      <c r="U385" s="5">
        <v>1</v>
      </c>
      <c r="V385" s="5">
        <v>2</v>
      </c>
      <c r="W385" s="5">
        <v>0</v>
      </c>
      <c r="X385" s="16">
        <f>Lit_rev_final[[#This Row],[Foundationality_1_5]]*0.35+Lit_rev_final[[#This Row],[Topic_Fit_1_5]]*0.35+Lit_rev_final[[#This Row],[Outlet_Quality_1_5]]*0.2+(0.1*Lit_rev_final[[#This Row],[Bridge_Value_0_3]]/3*5)</f>
        <v>1.4499999999999997</v>
      </c>
      <c r="Y385" s="10" t="s">
        <v>2402</v>
      </c>
      <c r="Z385" s="5" t="s">
        <v>156</v>
      </c>
      <c r="AA385" s="5" t="s">
        <v>46</v>
      </c>
      <c r="AB385" s="5" t="s">
        <v>46</v>
      </c>
      <c r="AC385" s="16" t="s">
        <v>2403</v>
      </c>
      <c r="AJ385" s="2"/>
    </row>
    <row r="386" spans="1:36" ht="30" customHeight="1" x14ac:dyDescent="0.15">
      <c r="A386" s="5" t="s">
        <v>156</v>
      </c>
      <c r="B386" s="8" t="s">
        <v>2404</v>
      </c>
      <c r="C386" s="8" t="s">
        <v>2405</v>
      </c>
      <c r="D386" s="8" t="s">
        <v>2406</v>
      </c>
      <c r="E386" s="8"/>
      <c r="F386" s="5">
        <v>2026</v>
      </c>
      <c r="G386" s="5"/>
      <c r="H386" s="5"/>
      <c r="I386" s="8" t="s">
        <v>2407</v>
      </c>
      <c r="J386" s="13" t="s">
        <v>2408</v>
      </c>
      <c r="K386" s="8" t="s">
        <v>580</v>
      </c>
      <c r="L386" s="5" t="s">
        <v>233</v>
      </c>
      <c r="M386" s="8" t="s">
        <v>46</v>
      </c>
      <c r="N386" s="8" t="s">
        <v>256</v>
      </c>
      <c r="O386" s="8" t="s">
        <v>112</v>
      </c>
      <c r="P386" s="5">
        <v>3</v>
      </c>
      <c r="Q386" s="5"/>
      <c r="R386" s="5"/>
      <c r="S386" s="5"/>
      <c r="T386" s="5">
        <v>2</v>
      </c>
      <c r="U386" s="5">
        <v>1</v>
      </c>
      <c r="V386" s="5">
        <v>2</v>
      </c>
      <c r="W386" s="5">
        <v>0</v>
      </c>
      <c r="X386" s="16">
        <f>Lit_rev_final[[#This Row],[Foundationality_1_5]]*0.35+Lit_rev_final[[#This Row],[Topic_Fit_1_5]]*0.35+Lit_rev_final[[#This Row],[Outlet_Quality_1_5]]*0.2+(0.1*Lit_rev_final[[#This Row],[Bridge_Value_0_3]]/3*5)</f>
        <v>1.4499999999999997</v>
      </c>
      <c r="Y386" s="10" t="s">
        <v>2409</v>
      </c>
      <c r="Z386" s="5" t="s">
        <v>156</v>
      </c>
      <c r="AA386" s="5" t="s">
        <v>46</v>
      </c>
      <c r="AB386" s="5" t="s">
        <v>46</v>
      </c>
      <c r="AC386" s="16" t="s">
        <v>2410</v>
      </c>
      <c r="AJ386" s="2"/>
    </row>
    <row r="387" spans="1:36" ht="30" customHeight="1" x14ac:dyDescent="0.15">
      <c r="A387" s="5" t="s">
        <v>156</v>
      </c>
      <c r="B387" s="8" t="s">
        <v>2411</v>
      </c>
      <c r="C387" s="8" t="s">
        <v>2412</v>
      </c>
      <c r="D387" s="8" t="s">
        <v>2413</v>
      </c>
      <c r="E387" s="8"/>
      <c r="F387" s="5">
        <v>2026</v>
      </c>
      <c r="G387" s="5"/>
      <c r="H387" s="5"/>
      <c r="I387" s="8" t="s">
        <v>2414</v>
      </c>
      <c r="J387" s="13" t="s">
        <v>2415</v>
      </c>
      <c r="K387" s="8" t="s">
        <v>580</v>
      </c>
      <c r="L387" s="5" t="s">
        <v>233</v>
      </c>
      <c r="M387" s="8" t="s">
        <v>46</v>
      </c>
      <c r="N387" s="8" t="s">
        <v>256</v>
      </c>
      <c r="O387" s="8" t="s">
        <v>112</v>
      </c>
      <c r="P387" s="5">
        <v>3</v>
      </c>
      <c r="Q387" s="5"/>
      <c r="R387" s="5"/>
      <c r="S387" s="5"/>
      <c r="T387" s="5">
        <v>2</v>
      </c>
      <c r="U387" s="5">
        <v>1</v>
      </c>
      <c r="V387" s="5">
        <v>2</v>
      </c>
      <c r="W387" s="5">
        <v>0</v>
      </c>
      <c r="X387" s="16">
        <f>Lit_rev_final[[#This Row],[Foundationality_1_5]]*0.35+Lit_rev_final[[#This Row],[Topic_Fit_1_5]]*0.35+Lit_rev_final[[#This Row],[Outlet_Quality_1_5]]*0.2+(0.1*Lit_rev_final[[#This Row],[Bridge_Value_0_3]]/3*5)</f>
        <v>1.4499999999999997</v>
      </c>
      <c r="Y387" s="10" t="s">
        <v>2402</v>
      </c>
      <c r="Z387" s="5" t="s">
        <v>156</v>
      </c>
      <c r="AA387" s="5" t="s">
        <v>46</v>
      </c>
      <c r="AB387" s="5" t="s">
        <v>46</v>
      </c>
      <c r="AC387" s="16" t="s">
        <v>2416</v>
      </c>
      <c r="AJ387" s="2"/>
    </row>
    <row r="388" spans="1:36" ht="30" customHeight="1" x14ac:dyDescent="0.15">
      <c r="A388" s="5" t="s">
        <v>156</v>
      </c>
      <c r="B388" s="8" t="s">
        <v>2417</v>
      </c>
      <c r="C388" s="8" t="s">
        <v>2418</v>
      </c>
      <c r="D388" s="8" t="s">
        <v>2419</v>
      </c>
      <c r="E388" s="8" t="s">
        <v>764</v>
      </c>
      <c r="F388" s="5">
        <v>2024</v>
      </c>
      <c r="G388" s="5">
        <v>35</v>
      </c>
      <c r="H388" s="5">
        <v>62</v>
      </c>
      <c r="I388" s="8" t="s">
        <v>2420</v>
      </c>
      <c r="J388" s="13" t="s">
        <v>2421</v>
      </c>
      <c r="K388" s="8" t="s">
        <v>232</v>
      </c>
      <c r="L388" s="5" t="s">
        <v>1219</v>
      </c>
      <c r="M388" s="8" t="s">
        <v>234</v>
      </c>
      <c r="N388" s="8" t="s">
        <v>256</v>
      </c>
      <c r="O388" s="8" t="s">
        <v>112</v>
      </c>
      <c r="P388" s="5">
        <v>3</v>
      </c>
      <c r="Q388" s="5"/>
      <c r="R388" s="5"/>
      <c r="S388" s="5"/>
      <c r="T388" s="5">
        <v>2</v>
      </c>
      <c r="U388" s="5">
        <v>1</v>
      </c>
      <c r="V388" s="5">
        <v>2</v>
      </c>
      <c r="W388" s="5">
        <v>0</v>
      </c>
      <c r="X388" s="16">
        <f>Lit_rev_final[[#This Row],[Foundationality_1_5]]*0.35+Lit_rev_final[[#This Row],[Topic_Fit_1_5]]*0.35+Lit_rev_final[[#This Row],[Outlet_Quality_1_5]]*0.2+(0.1*Lit_rev_final[[#This Row],[Bridge_Value_0_3]]/3*5)</f>
        <v>1.4499999999999997</v>
      </c>
      <c r="Y388" s="10" t="s">
        <v>2402</v>
      </c>
      <c r="Z388" s="5" t="s">
        <v>156</v>
      </c>
      <c r="AA388" s="5" t="s">
        <v>46</v>
      </c>
      <c r="AB388" s="5" t="s">
        <v>46</v>
      </c>
      <c r="AC388" s="16" t="s">
        <v>2422</v>
      </c>
      <c r="AJ388" s="2"/>
    </row>
    <row r="389" spans="1:36" ht="30" customHeight="1" x14ac:dyDescent="0.15">
      <c r="A389" s="5" t="s">
        <v>156</v>
      </c>
      <c r="B389" s="8" t="s">
        <v>2423</v>
      </c>
      <c r="C389" s="8" t="s">
        <v>2424</v>
      </c>
      <c r="D389" s="8" t="s">
        <v>2357</v>
      </c>
      <c r="E389" s="8"/>
      <c r="F389" s="5">
        <v>2025</v>
      </c>
      <c r="G389" s="5"/>
      <c r="H389" s="5"/>
      <c r="I389" s="8" t="s">
        <v>2425</v>
      </c>
      <c r="J389" s="13" t="s">
        <v>2426</v>
      </c>
      <c r="K389" s="8" t="s">
        <v>580</v>
      </c>
      <c r="L389" s="5" t="s">
        <v>233</v>
      </c>
      <c r="M389" s="8" t="s">
        <v>46</v>
      </c>
      <c r="N389" s="8" t="s">
        <v>256</v>
      </c>
      <c r="O389" s="8" t="s">
        <v>112</v>
      </c>
      <c r="P389" s="5">
        <v>3</v>
      </c>
      <c r="Q389" s="5"/>
      <c r="R389" s="5"/>
      <c r="S389" s="5"/>
      <c r="T389" s="5">
        <v>2</v>
      </c>
      <c r="U389" s="5">
        <v>1</v>
      </c>
      <c r="V389" s="5">
        <v>2</v>
      </c>
      <c r="W389" s="5">
        <v>0</v>
      </c>
      <c r="X389" s="16">
        <f>Lit_rev_final[[#This Row],[Foundationality_1_5]]*0.35+Lit_rev_final[[#This Row],[Topic_Fit_1_5]]*0.35+Lit_rev_final[[#This Row],[Outlet_Quality_1_5]]*0.2+(0.1*Lit_rev_final[[#This Row],[Bridge_Value_0_3]]/3*5)</f>
        <v>1.4499999999999997</v>
      </c>
      <c r="Y389" s="10" t="s">
        <v>2427</v>
      </c>
      <c r="Z389" s="5" t="s">
        <v>156</v>
      </c>
      <c r="AA389" s="5" t="s">
        <v>46</v>
      </c>
      <c r="AB389" s="5" t="s">
        <v>46</v>
      </c>
      <c r="AC389" s="16" t="s">
        <v>2428</v>
      </c>
      <c r="AJ389" s="2"/>
    </row>
    <row r="390" spans="1:36" ht="30" customHeight="1" x14ac:dyDescent="0.15">
      <c r="A390" s="5" t="s">
        <v>156</v>
      </c>
      <c r="B390" s="8" t="s">
        <v>2429</v>
      </c>
      <c r="C390" s="8" t="s">
        <v>2430</v>
      </c>
      <c r="D390" s="8" t="s">
        <v>2431</v>
      </c>
      <c r="E390" s="8"/>
      <c r="F390" s="5">
        <v>2026</v>
      </c>
      <c r="G390" s="5"/>
      <c r="H390" s="5"/>
      <c r="I390" s="8" t="s">
        <v>2432</v>
      </c>
      <c r="J390" s="13" t="s">
        <v>2433</v>
      </c>
      <c r="K390" s="8" t="s">
        <v>580</v>
      </c>
      <c r="L390" s="5" t="s">
        <v>233</v>
      </c>
      <c r="M390" s="8" t="s">
        <v>46</v>
      </c>
      <c r="N390" s="8" t="s">
        <v>256</v>
      </c>
      <c r="O390" s="8" t="s">
        <v>112</v>
      </c>
      <c r="P390" s="5">
        <v>3</v>
      </c>
      <c r="Q390" s="5"/>
      <c r="R390" s="5"/>
      <c r="S390" s="5"/>
      <c r="T390" s="5">
        <v>2</v>
      </c>
      <c r="U390" s="5">
        <v>1</v>
      </c>
      <c r="V390" s="5">
        <v>2</v>
      </c>
      <c r="W390" s="5">
        <v>0</v>
      </c>
      <c r="X390" s="16">
        <f>Lit_rev_final[[#This Row],[Foundationality_1_5]]*0.35+Lit_rev_final[[#This Row],[Topic_Fit_1_5]]*0.35+Lit_rev_final[[#This Row],[Outlet_Quality_1_5]]*0.2+(0.1*Lit_rev_final[[#This Row],[Bridge_Value_0_3]]/3*5)</f>
        <v>1.4499999999999997</v>
      </c>
      <c r="Y390" s="10" t="s">
        <v>2434</v>
      </c>
      <c r="Z390" s="5" t="s">
        <v>156</v>
      </c>
      <c r="AA390" s="5" t="s">
        <v>46</v>
      </c>
      <c r="AB390" s="5" t="s">
        <v>46</v>
      </c>
      <c r="AC390" s="16" t="s">
        <v>2435</v>
      </c>
      <c r="AJ390" s="2"/>
    </row>
    <row r="391" spans="1:36" ht="50" customHeight="1" x14ac:dyDescent="0.15">
      <c r="A391" s="5" t="s">
        <v>156</v>
      </c>
      <c r="B391" s="8" t="s">
        <v>2436</v>
      </c>
      <c r="C391" s="8" t="s">
        <v>2437</v>
      </c>
      <c r="D391" s="8" t="s">
        <v>2438</v>
      </c>
      <c r="E391" s="8" t="s">
        <v>2439</v>
      </c>
      <c r="F391" s="5">
        <v>2019</v>
      </c>
      <c r="G391" s="5">
        <v>674</v>
      </c>
      <c r="H391" s="5">
        <v>681</v>
      </c>
      <c r="I391" s="8" t="s">
        <v>2440</v>
      </c>
      <c r="J391" s="13" t="s">
        <v>2441</v>
      </c>
      <c r="K391" s="8" t="s">
        <v>232</v>
      </c>
      <c r="L391" s="5" t="s">
        <v>1219</v>
      </c>
      <c r="M391" s="8" t="s">
        <v>392</v>
      </c>
      <c r="N391" s="8" t="s">
        <v>256</v>
      </c>
      <c r="O391" s="8" t="s">
        <v>112</v>
      </c>
      <c r="P391" s="5">
        <v>3</v>
      </c>
      <c r="Q391" s="5"/>
      <c r="R391" s="5"/>
      <c r="S391" s="5"/>
      <c r="T391" s="5">
        <v>2</v>
      </c>
      <c r="U391" s="5">
        <v>1</v>
      </c>
      <c r="V391" s="5">
        <v>2</v>
      </c>
      <c r="W391" s="5">
        <v>0</v>
      </c>
      <c r="X391" s="16">
        <f>Lit_rev_final[[#This Row],[Foundationality_1_5]]*0.35+Lit_rev_final[[#This Row],[Topic_Fit_1_5]]*0.35+Lit_rev_final[[#This Row],[Outlet_Quality_1_5]]*0.2+(0.1*Lit_rev_final[[#This Row],[Bridge_Value_0_3]]/3*5)</f>
        <v>1.4499999999999997</v>
      </c>
      <c r="Y391" s="10" t="s">
        <v>2442</v>
      </c>
      <c r="Z391" s="5" t="s">
        <v>156</v>
      </c>
      <c r="AA391" s="5" t="s">
        <v>46</v>
      </c>
      <c r="AB391" s="5" t="s">
        <v>46</v>
      </c>
      <c r="AC391" s="16" t="s">
        <v>2443</v>
      </c>
      <c r="AJ391" s="2"/>
    </row>
    <row r="392" spans="1:36" ht="50" hidden="1" customHeight="1" x14ac:dyDescent="0.15">
      <c r="A392" s="7" t="s">
        <v>30</v>
      </c>
      <c r="B392" s="8" t="s">
        <v>2444</v>
      </c>
      <c r="C392" s="8" t="s">
        <v>2445</v>
      </c>
      <c r="D392" s="8" t="s">
        <v>2446</v>
      </c>
      <c r="E392" s="8" t="s">
        <v>2447</v>
      </c>
      <c r="F392" s="5">
        <v>2019</v>
      </c>
      <c r="G392" s="5"/>
      <c r="H392" s="5"/>
      <c r="I392" s="8" t="s">
        <v>2448</v>
      </c>
      <c r="J392" s="13" t="s">
        <v>2449</v>
      </c>
      <c r="K392" s="8" t="s">
        <v>37</v>
      </c>
      <c r="L392" s="5" t="s">
        <v>38</v>
      </c>
      <c r="M392" s="8" t="s">
        <v>39</v>
      </c>
      <c r="N392" s="8" t="s">
        <v>222</v>
      </c>
      <c r="O392" s="8" t="s">
        <v>57</v>
      </c>
      <c r="P392" s="5">
        <v>1</v>
      </c>
      <c r="Q392" s="5"/>
      <c r="R392" s="5"/>
      <c r="S392" s="5"/>
      <c r="T392" s="5">
        <v>4</v>
      </c>
      <c r="U392" s="5">
        <v>5</v>
      </c>
      <c r="V392" s="5">
        <v>2</v>
      </c>
      <c r="W392" s="5">
        <v>1</v>
      </c>
      <c r="X392" s="16">
        <f>Lit_rev_final[[#This Row],[Foundationality_1_5]]*0.35+Lit_rev_final[[#This Row],[Topic_Fit_1_5]]*0.35+Lit_rev_final[[#This Row],[Outlet_Quality_1_5]]*0.2+(0.1*Lit_rev_final[[#This Row],[Bridge_Value_0_3]]/3*5)</f>
        <v>3.7166666666666663</v>
      </c>
      <c r="Y392" s="5" t="s">
        <v>60</v>
      </c>
      <c r="Z392" s="5" t="s">
        <v>30</v>
      </c>
      <c r="AA392" s="5" t="s">
        <v>60</v>
      </c>
      <c r="AB392" s="5" t="s">
        <v>61</v>
      </c>
      <c r="AC392" s="16" t="s">
        <v>46</v>
      </c>
      <c r="AJ392" s="2"/>
    </row>
    <row r="393" spans="1:36" ht="36" hidden="1" customHeight="1" x14ac:dyDescent="0.15">
      <c r="A393" s="7" t="s">
        <v>30</v>
      </c>
      <c r="B393" s="8" t="s">
        <v>2450</v>
      </c>
      <c r="C393" s="8" t="s">
        <v>2451</v>
      </c>
      <c r="D393" s="8" t="s">
        <v>2452</v>
      </c>
      <c r="E393" s="8" t="s">
        <v>2453</v>
      </c>
      <c r="F393" s="5">
        <v>2021</v>
      </c>
      <c r="G393" s="5">
        <v>610</v>
      </c>
      <c r="H393" s="5">
        <v>645</v>
      </c>
      <c r="I393" s="8" t="s">
        <v>2454</v>
      </c>
      <c r="J393" s="13" t="s">
        <v>2455</v>
      </c>
      <c r="K393" s="8" t="s">
        <v>37</v>
      </c>
      <c r="L393" s="5" t="s">
        <v>38</v>
      </c>
      <c r="M393" s="8" t="s">
        <v>39</v>
      </c>
      <c r="N393" s="8" t="s">
        <v>222</v>
      </c>
      <c r="O393" s="8" t="s">
        <v>57</v>
      </c>
      <c r="P393" s="5">
        <v>1</v>
      </c>
      <c r="Q393" s="5" t="s">
        <v>43</v>
      </c>
      <c r="R393" s="5"/>
      <c r="S393" s="5" t="s">
        <v>69</v>
      </c>
      <c r="T393" s="5">
        <v>4</v>
      </c>
      <c r="U393" s="5">
        <v>5</v>
      </c>
      <c r="V393" s="5">
        <v>4</v>
      </c>
      <c r="W393" s="5">
        <v>1</v>
      </c>
      <c r="X393" s="16">
        <f>Lit_rev_final[[#This Row],[Foundationality_1_5]]*0.35+Lit_rev_final[[#This Row],[Topic_Fit_1_5]]*0.35+Lit_rev_final[[#This Row],[Outlet_Quality_1_5]]*0.2+(0.1*Lit_rev_final[[#This Row],[Bridge_Value_0_3]]/3*5)</f>
        <v>4.1166666666666671</v>
      </c>
      <c r="Y393" s="5" t="s">
        <v>60</v>
      </c>
      <c r="Z393" s="5" t="s">
        <v>30</v>
      </c>
      <c r="AA393" s="5" t="s">
        <v>60</v>
      </c>
      <c r="AB393" s="5" t="s">
        <v>61</v>
      </c>
      <c r="AC393" s="16" t="s">
        <v>46</v>
      </c>
      <c r="AJ393" s="2"/>
    </row>
    <row r="394" spans="1:36" ht="36" hidden="1" customHeight="1" x14ac:dyDescent="0.15">
      <c r="A394" s="7" t="s">
        <v>30</v>
      </c>
      <c r="B394" s="8" t="s">
        <v>2456</v>
      </c>
      <c r="C394" s="8" t="s">
        <v>2457</v>
      </c>
      <c r="D394" s="8" t="s">
        <v>2458</v>
      </c>
      <c r="E394" s="8" t="s">
        <v>2447</v>
      </c>
      <c r="F394" s="5">
        <v>2017</v>
      </c>
      <c r="G394" s="5">
        <v>132</v>
      </c>
      <c r="H394" s="5">
        <v>154</v>
      </c>
      <c r="I394" s="8"/>
      <c r="J394" s="13"/>
      <c r="K394" s="8" t="s">
        <v>37</v>
      </c>
      <c r="L394" s="5" t="s">
        <v>38</v>
      </c>
      <c r="M394" s="8" t="s">
        <v>39</v>
      </c>
      <c r="N394" s="8" t="s">
        <v>222</v>
      </c>
      <c r="O394" s="8" t="s">
        <v>57</v>
      </c>
      <c r="P394" s="5">
        <v>1</v>
      </c>
      <c r="Q394" s="5"/>
      <c r="R394" s="5"/>
      <c r="S394" s="5"/>
      <c r="T394" s="5">
        <v>5</v>
      </c>
      <c r="U394" s="5">
        <v>5</v>
      </c>
      <c r="V394" s="5">
        <v>2</v>
      </c>
      <c r="W394" s="5">
        <v>1</v>
      </c>
      <c r="X394" s="16">
        <f>Lit_rev_final[[#This Row],[Foundationality_1_5]]*0.35+Lit_rev_final[[#This Row],[Topic_Fit_1_5]]*0.35+Lit_rev_final[[#This Row],[Outlet_Quality_1_5]]*0.2+(0.1*Lit_rev_final[[#This Row],[Bridge_Value_0_3]]/3*5)</f>
        <v>4.0666666666666664</v>
      </c>
      <c r="Y394" s="5" t="s">
        <v>60</v>
      </c>
      <c r="Z394" s="5" t="s">
        <v>30</v>
      </c>
      <c r="AA394" s="5" t="s">
        <v>60</v>
      </c>
      <c r="AB394" s="5" t="s">
        <v>61</v>
      </c>
      <c r="AC394" s="16" t="s">
        <v>46</v>
      </c>
      <c r="AJ394" s="2"/>
    </row>
    <row r="395" spans="1:36" ht="36" hidden="1" customHeight="1" x14ac:dyDescent="0.15">
      <c r="A395" s="7" t="s">
        <v>30</v>
      </c>
      <c r="B395" s="8" t="s">
        <v>2459</v>
      </c>
      <c r="C395" s="8" t="s">
        <v>2460</v>
      </c>
      <c r="D395" s="8" t="s">
        <v>165</v>
      </c>
      <c r="E395" s="8" t="s">
        <v>138</v>
      </c>
      <c r="F395" s="5">
        <v>2018</v>
      </c>
      <c r="G395" s="5">
        <v>321</v>
      </c>
      <c r="H395" s="5">
        <v>359</v>
      </c>
      <c r="I395" s="8" t="s">
        <v>2461</v>
      </c>
      <c r="J395" s="13" t="s">
        <v>2462</v>
      </c>
      <c r="K395" s="8" t="s">
        <v>37</v>
      </c>
      <c r="L395" s="5" t="s">
        <v>38</v>
      </c>
      <c r="M395" s="8" t="s">
        <v>39</v>
      </c>
      <c r="N395" s="8" t="s">
        <v>222</v>
      </c>
      <c r="O395" s="8" t="s">
        <v>57</v>
      </c>
      <c r="P395" s="5">
        <v>1</v>
      </c>
      <c r="Q395" s="5" t="s">
        <v>67</v>
      </c>
      <c r="R395" s="5"/>
      <c r="S395" s="5" t="s">
        <v>69</v>
      </c>
      <c r="T395" s="5">
        <v>4</v>
      </c>
      <c r="U395" s="5">
        <v>5</v>
      </c>
      <c r="V395" s="5">
        <v>3</v>
      </c>
      <c r="W395" s="5">
        <v>1</v>
      </c>
      <c r="X395" s="16">
        <f>Lit_rev_final[[#This Row],[Foundationality_1_5]]*0.35+Lit_rev_final[[#This Row],[Topic_Fit_1_5]]*0.35+Lit_rev_final[[#This Row],[Outlet_Quality_1_5]]*0.2+(0.1*Lit_rev_final[[#This Row],[Bridge_Value_0_3]]/3*5)</f>
        <v>3.9166666666666665</v>
      </c>
      <c r="Y395" s="5" t="s">
        <v>60</v>
      </c>
      <c r="Z395" s="5" t="s">
        <v>30</v>
      </c>
      <c r="AA395" s="5" t="s">
        <v>60</v>
      </c>
      <c r="AB395" s="5" t="s">
        <v>61</v>
      </c>
      <c r="AC395" s="16" t="s">
        <v>46</v>
      </c>
      <c r="AJ395" s="2"/>
    </row>
    <row r="396" spans="1:36" ht="36" hidden="1" customHeight="1" x14ac:dyDescent="0.15">
      <c r="A396" s="7" t="s">
        <v>30</v>
      </c>
      <c r="B396" s="8" t="s">
        <v>2463</v>
      </c>
      <c r="C396" s="8" t="s">
        <v>2464</v>
      </c>
      <c r="D396" s="8" t="s">
        <v>2465</v>
      </c>
      <c r="E396" s="8" t="s">
        <v>2466</v>
      </c>
      <c r="F396" s="5">
        <v>2010</v>
      </c>
      <c r="G396" s="5">
        <v>317</v>
      </c>
      <c r="H396" s="5">
        <v>332</v>
      </c>
      <c r="I396" s="8" t="s">
        <v>2467</v>
      </c>
      <c r="J396" s="13" t="s">
        <v>2468</v>
      </c>
      <c r="K396" s="8" t="s">
        <v>37</v>
      </c>
      <c r="L396" s="5" t="s">
        <v>38</v>
      </c>
      <c r="M396" s="8" t="s">
        <v>367</v>
      </c>
      <c r="N396" s="8" t="s">
        <v>222</v>
      </c>
      <c r="O396" s="8" t="s">
        <v>57</v>
      </c>
      <c r="P396" s="5">
        <v>2</v>
      </c>
      <c r="Q396" s="5"/>
      <c r="R396" s="5"/>
      <c r="S396" s="5"/>
      <c r="T396" s="5">
        <v>4</v>
      </c>
      <c r="U396" s="5">
        <v>4</v>
      </c>
      <c r="V396" s="5">
        <v>2</v>
      </c>
      <c r="W396" s="5">
        <v>1</v>
      </c>
      <c r="X396" s="16">
        <f>Lit_rev_final[[#This Row],[Foundationality_1_5]]*0.35+Lit_rev_final[[#This Row],[Topic_Fit_1_5]]*0.35+Lit_rev_final[[#This Row],[Outlet_Quality_1_5]]*0.2+(0.1*Lit_rev_final[[#This Row],[Bridge_Value_0_3]]/3*5)</f>
        <v>3.3666666666666663</v>
      </c>
      <c r="Y396" s="5" t="s">
        <v>71</v>
      </c>
      <c r="Z396" s="5" t="s">
        <v>30</v>
      </c>
      <c r="AA396" s="5" t="s">
        <v>71</v>
      </c>
      <c r="AB396" s="5" t="s">
        <v>72</v>
      </c>
      <c r="AC396" s="16" t="s">
        <v>46</v>
      </c>
      <c r="AJ396" s="2"/>
    </row>
    <row r="397" spans="1:36" ht="36" hidden="1" customHeight="1" x14ac:dyDescent="0.15">
      <c r="A397" s="7" t="s">
        <v>30</v>
      </c>
      <c r="B397" s="8" t="s">
        <v>2469</v>
      </c>
      <c r="C397" s="8" t="s">
        <v>2470</v>
      </c>
      <c r="D397" s="8" t="s">
        <v>171</v>
      </c>
      <c r="E397" s="8" t="s">
        <v>218</v>
      </c>
      <c r="F397" s="5">
        <v>2023</v>
      </c>
      <c r="G397" s="5">
        <v>101869</v>
      </c>
      <c r="H397" s="5"/>
      <c r="I397" s="8" t="s">
        <v>2471</v>
      </c>
      <c r="J397" s="13" t="s">
        <v>2472</v>
      </c>
      <c r="K397" s="8" t="s">
        <v>37</v>
      </c>
      <c r="L397" s="5" t="s">
        <v>38</v>
      </c>
      <c r="M397" s="8" t="s">
        <v>39</v>
      </c>
      <c r="N397" s="8" t="s">
        <v>222</v>
      </c>
      <c r="O397" s="8" t="s">
        <v>112</v>
      </c>
      <c r="P397" s="5">
        <v>1</v>
      </c>
      <c r="Q397" s="5" t="s">
        <v>67</v>
      </c>
      <c r="R397" s="5"/>
      <c r="S397" s="5" t="s">
        <v>69</v>
      </c>
      <c r="T397" s="5">
        <v>5</v>
      </c>
      <c r="U397" s="5">
        <v>5</v>
      </c>
      <c r="V397" s="5">
        <v>3</v>
      </c>
      <c r="W397" s="5">
        <v>3</v>
      </c>
      <c r="X397" s="16">
        <f>Lit_rev_final[[#This Row],[Foundationality_1_5]]*0.35+Lit_rev_final[[#This Row],[Topic_Fit_1_5]]*0.35+Lit_rev_final[[#This Row],[Outlet_Quality_1_5]]*0.2+(0.1*Lit_rev_final[[#This Row],[Bridge_Value_0_3]]/3*5)</f>
        <v>4.5999999999999996</v>
      </c>
      <c r="Y397" s="5" t="s">
        <v>60</v>
      </c>
      <c r="Z397" s="5" t="s">
        <v>30</v>
      </c>
      <c r="AA397" s="5" t="s">
        <v>60</v>
      </c>
      <c r="AB397" s="5" t="s">
        <v>61</v>
      </c>
      <c r="AC397" s="16" t="s">
        <v>46</v>
      </c>
      <c r="AJ397" s="2"/>
    </row>
    <row r="398" spans="1:36" ht="36" hidden="1" customHeight="1" x14ac:dyDescent="0.15">
      <c r="A398" s="7" t="s">
        <v>30</v>
      </c>
      <c r="B398" s="8" t="s">
        <v>2473</v>
      </c>
      <c r="C398" s="8" t="s">
        <v>2474</v>
      </c>
      <c r="D398" s="8" t="s">
        <v>2475</v>
      </c>
      <c r="E398" s="8" t="s">
        <v>912</v>
      </c>
      <c r="F398" s="5">
        <v>2022</v>
      </c>
      <c r="G398" s="5">
        <v>22</v>
      </c>
      <c r="H398" s="5">
        <v>34</v>
      </c>
      <c r="I398" s="8" t="s">
        <v>2476</v>
      </c>
      <c r="J398" s="13" t="s">
        <v>2477</v>
      </c>
      <c r="K398" s="8" t="s">
        <v>37</v>
      </c>
      <c r="L398" s="5" t="s">
        <v>38</v>
      </c>
      <c r="M398" s="8" t="s">
        <v>367</v>
      </c>
      <c r="N398" s="8" t="s">
        <v>222</v>
      </c>
      <c r="O398" s="8" t="s">
        <v>112</v>
      </c>
      <c r="P398" s="5">
        <v>2</v>
      </c>
      <c r="Q398" s="5"/>
      <c r="R398" s="5"/>
      <c r="S398" s="5"/>
      <c r="T398" s="5">
        <v>3</v>
      </c>
      <c r="U398" s="5">
        <v>4</v>
      </c>
      <c r="V398" s="5">
        <v>2</v>
      </c>
      <c r="W398" s="5">
        <v>2</v>
      </c>
      <c r="X398" s="16">
        <f>Lit_rev_final[[#This Row],[Foundationality_1_5]]*0.35+Lit_rev_final[[#This Row],[Topic_Fit_1_5]]*0.35+Lit_rev_final[[#This Row],[Outlet_Quality_1_5]]*0.2+(0.1*Lit_rev_final[[#This Row],[Bridge_Value_0_3]]/3*5)</f>
        <v>3.1833333333333331</v>
      </c>
      <c r="Y398" s="5" t="s">
        <v>71</v>
      </c>
      <c r="Z398" s="5" t="s">
        <v>30</v>
      </c>
      <c r="AA398" s="5" t="s">
        <v>71</v>
      </c>
      <c r="AB398" s="5" t="s">
        <v>72</v>
      </c>
      <c r="AC398" s="16" t="s">
        <v>46</v>
      </c>
      <c r="AJ398" s="2"/>
    </row>
    <row r="399" spans="1:36" ht="36" hidden="1" customHeight="1" x14ac:dyDescent="0.15">
      <c r="A399" s="7" t="s">
        <v>30</v>
      </c>
      <c r="B399" s="8" t="s">
        <v>2478</v>
      </c>
      <c r="C399" s="8" t="s">
        <v>2479</v>
      </c>
      <c r="D399" s="8" t="s">
        <v>217</v>
      </c>
      <c r="E399" s="8" t="s">
        <v>218</v>
      </c>
      <c r="F399" s="5">
        <v>2011</v>
      </c>
      <c r="G399" s="5">
        <v>702</v>
      </c>
      <c r="H399" s="5">
        <v>713</v>
      </c>
      <c r="I399" s="8" t="s">
        <v>2480</v>
      </c>
      <c r="J399" s="13" t="s">
        <v>2481</v>
      </c>
      <c r="K399" s="8" t="s">
        <v>37</v>
      </c>
      <c r="L399" s="5" t="s">
        <v>38</v>
      </c>
      <c r="M399" s="8" t="s">
        <v>39</v>
      </c>
      <c r="N399" s="8" t="s">
        <v>222</v>
      </c>
      <c r="O399" s="8" t="s">
        <v>223</v>
      </c>
      <c r="P399" s="5">
        <v>2</v>
      </c>
      <c r="Q399" s="5" t="s">
        <v>43</v>
      </c>
      <c r="R399" s="5"/>
      <c r="S399" s="5" t="s">
        <v>224</v>
      </c>
      <c r="T399" s="5">
        <v>3</v>
      </c>
      <c r="U399" s="5">
        <v>3</v>
      </c>
      <c r="V399" s="5">
        <v>5</v>
      </c>
      <c r="W399" s="5">
        <v>1</v>
      </c>
      <c r="X399" s="16">
        <f>Lit_rev_final[[#This Row],[Foundationality_1_5]]*0.35+Lit_rev_final[[#This Row],[Topic_Fit_1_5]]*0.35+Lit_rev_final[[#This Row],[Outlet_Quality_1_5]]*0.2+(0.1*Lit_rev_final[[#This Row],[Bridge_Value_0_3]]/3*5)</f>
        <v>3.2666666666666662</v>
      </c>
      <c r="Y399" s="5" t="s">
        <v>46</v>
      </c>
      <c r="Z399" s="5" t="s">
        <v>156</v>
      </c>
      <c r="AA399" s="5" t="s">
        <v>46</v>
      </c>
      <c r="AB399" s="5" t="s">
        <v>46</v>
      </c>
      <c r="AC399" s="16" t="s">
        <v>46</v>
      </c>
      <c r="AJ399" s="2"/>
    </row>
    <row r="400" spans="1:36" ht="36" hidden="1" customHeight="1" x14ac:dyDescent="0.15">
      <c r="A400" s="7" t="s">
        <v>30</v>
      </c>
      <c r="B400" s="8" t="s">
        <v>2482</v>
      </c>
      <c r="C400" s="8" t="s">
        <v>2483</v>
      </c>
      <c r="D400" s="8" t="s">
        <v>87</v>
      </c>
      <c r="E400" s="8" t="s">
        <v>88</v>
      </c>
      <c r="F400" s="5">
        <v>2002</v>
      </c>
      <c r="G400" s="5" t="s">
        <v>2484</v>
      </c>
      <c r="H400" s="5" t="s">
        <v>2485</v>
      </c>
      <c r="I400" s="8"/>
      <c r="J400" s="13"/>
      <c r="K400" s="8" t="s">
        <v>37</v>
      </c>
      <c r="L400" s="5" t="s">
        <v>38</v>
      </c>
      <c r="M400" s="8" t="s">
        <v>39</v>
      </c>
      <c r="N400" s="8" t="s">
        <v>40</v>
      </c>
      <c r="O400" s="8" t="s">
        <v>41</v>
      </c>
      <c r="P400" s="5" t="s">
        <v>42</v>
      </c>
      <c r="Q400" s="5" t="s">
        <v>91</v>
      </c>
      <c r="R400" s="5"/>
      <c r="S400" s="5" t="s">
        <v>69</v>
      </c>
      <c r="T400" s="5" t="s">
        <v>46</v>
      </c>
      <c r="U400" s="5" t="s">
        <v>46</v>
      </c>
      <c r="V400" s="5" t="s">
        <v>46</v>
      </c>
      <c r="W400" s="5" t="s">
        <v>46</v>
      </c>
      <c r="X400" s="5" t="s">
        <v>47</v>
      </c>
      <c r="Y400" s="5" t="s">
        <v>49</v>
      </c>
      <c r="Z400" s="5" t="s">
        <v>30</v>
      </c>
      <c r="AA400" s="5" t="s">
        <v>49</v>
      </c>
      <c r="AB400" s="5" t="s">
        <v>61</v>
      </c>
      <c r="AC400" s="16" t="s">
        <v>46</v>
      </c>
      <c r="AJ400" s="2"/>
    </row>
    <row r="401" spans="1:41" ht="36" hidden="1" customHeight="1" x14ac:dyDescent="0.15">
      <c r="A401" s="7" t="s">
        <v>30</v>
      </c>
      <c r="B401" s="8" t="s">
        <v>2486</v>
      </c>
      <c r="C401" s="8" t="s">
        <v>2487</v>
      </c>
      <c r="D401" s="8" t="s">
        <v>2488</v>
      </c>
      <c r="E401" s="8" t="s">
        <v>2489</v>
      </c>
      <c r="F401" s="5">
        <v>2020</v>
      </c>
      <c r="G401" s="5">
        <v>129</v>
      </c>
      <c r="H401" s="5">
        <v>147</v>
      </c>
      <c r="I401" s="8" t="s">
        <v>2490</v>
      </c>
      <c r="J401" s="13" t="s">
        <v>2491</v>
      </c>
      <c r="K401" s="8" t="s">
        <v>37</v>
      </c>
      <c r="L401" s="5" t="s">
        <v>38</v>
      </c>
      <c r="M401" s="8" t="s">
        <v>39</v>
      </c>
      <c r="N401" s="8" t="s">
        <v>40</v>
      </c>
      <c r="O401" s="8" t="s">
        <v>41</v>
      </c>
      <c r="P401" s="5" t="s">
        <v>42</v>
      </c>
      <c r="Q401" s="5" t="s">
        <v>351</v>
      </c>
      <c r="R401" s="5"/>
      <c r="S401" s="5" t="s">
        <v>69</v>
      </c>
      <c r="T401" s="5" t="s">
        <v>46</v>
      </c>
      <c r="U401" s="5" t="s">
        <v>46</v>
      </c>
      <c r="V401" s="5" t="s">
        <v>46</v>
      </c>
      <c r="W401" s="5" t="s">
        <v>46</v>
      </c>
      <c r="X401" s="5" t="s">
        <v>47</v>
      </c>
      <c r="Y401" s="5" t="s">
        <v>93</v>
      </c>
      <c r="Z401" s="5" t="s">
        <v>30</v>
      </c>
      <c r="AA401" s="5" t="s">
        <v>93</v>
      </c>
      <c r="AB401" s="5" t="s">
        <v>2492</v>
      </c>
      <c r="AC401" s="16" t="s">
        <v>46</v>
      </c>
      <c r="AJ401" s="2"/>
    </row>
    <row r="402" spans="1:41" ht="36" hidden="1" customHeight="1" x14ac:dyDescent="0.2">
      <c r="A402" s="7" t="s">
        <v>30</v>
      </c>
      <c r="B402" s="8" t="s">
        <v>2493</v>
      </c>
      <c r="C402" s="8" t="s">
        <v>2494</v>
      </c>
      <c r="D402" s="8" t="s">
        <v>2495</v>
      </c>
      <c r="E402" s="8" t="s">
        <v>2466</v>
      </c>
      <c r="F402" s="5">
        <v>1988</v>
      </c>
      <c r="G402" s="5">
        <v>104</v>
      </c>
      <c r="H402" s="5">
        <v>126</v>
      </c>
      <c r="I402" s="8" t="s">
        <v>2496</v>
      </c>
      <c r="J402" s="13" t="s">
        <v>2497</v>
      </c>
      <c r="K402" s="8" t="s">
        <v>37</v>
      </c>
      <c r="L402" s="5" t="s">
        <v>38</v>
      </c>
      <c r="M402" s="8" t="s">
        <v>39</v>
      </c>
      <c r="N402" s="8" t="s">
        <v>40</v>
      </c>
      <c r="O402" s="8" t="s">
        <v>41</v>
      </c>
      <c r="P402" s="5" t="s">
        <v>42</v>
      </c>
      <c r="Q402" s="5"/>
      <c r="R402" s="5"/>
      <c r="S402" s="5"/>
      <c r="T402" s="5" t="s">
        <v>46</v>
      </c>
      <c r="U402" s="5" t="s">
        <v>46</v>
      </c>
      <c r="V402" s="5" t="s">
        <v>46</v>
      </c>
      <c r="W402" s="5" t="s">
        <v>46</v>
      </c>
      <c r="X402" s="5" t="s">
        <v>47</v>
      </c>
      <c r="Y402" s="5" t="s">
        <v>2498</v>
      </c>
      <c r="Z402" s="5" t="s">
        <v>93</v>
      </c>
      <c r="AA402" s="5" t="s">
        <v>2498</v>
      </c>
      <c r="AB402" s="5" t="s">
        <v>46</v>
      </c>
      <c r="AC402" s="16" t="s">
        <v>46</v>
      </c>
      <c r="AJ402" s="2"/>
      <c r="AO402" s="18"/>
    </row>
    <row r="403" spans="1:41" ht="36" hidden="1" customHeight="1" x14ac:dyDescent="0.2">
      <c r="A403" s="7" t="s">
        <v>30</v>
      </c>
      <c r="B403" s="8" t="s">
        <v>2499</v>
      </c>
      <c r="C403" s="8" t="s">
        <v>2500</v>
      </c>
      <c r="D403" s="8" t="s">
        <v>2501</v>
      </c>
      <c r="E403" s="8" t="s">
        <v>2489</v>
      </c>
      <c r="F403" s="5">
        <v>2007</v>
      </c>
      <c r="G403" s="5">
        <v>213</v>
      </c>
      <c r="H403" s="5">
        <v>228</v>
      </c>
      <c r="I403" s="8" t="s">
        <v>2502</v>
      </c>
      <c r="J403" s="13" t="s">
        <v>2503</v>
      </c>
      <c r="K403" s="8" t="s">
        <v>37</v>
      </c>
      <c r="L403" s="5" t="s">
        <v>38</v>
      </c>
      <c r="M403" s="8" t="s">
        <v>39</v>
      </c>
      <c r="N403" s="8" t="s">
        <v>40</v>
      </c>
      <c r="O403" s="8" t="s">
        <v>41</v>
      </c>
      <c r="P403" s="5" t="s">
        <v>42</v>
      </c>
      <c r="Q403" s="5"/>
      <c r="R403" s="5"/>
      <c r="S403" s="5"/>
      <c r="T403" s="5" t="s">
        <v>46</v>
      </c>
      <c r="U403" s="5" t="s">
        <v>46</v>
      </c>
      <c r="V403" s="5" t="s">
        <v>46</v>
      </c>
      <c r="W403" s="5" t="s">
        <v>46</v>
      </c>
      <c r="X403" s="5" t="s">
        <v>47</v>
      </c>
      <c r="Y403" s="5" t="s">
        <v>2504</v>
      </c>
      <c r="Z403" s="5" t="s">
        <v>93</v>
      </c>
      <c r="AA403" s="5" t="s">
        <v>2504</v>
      </c>
      <c r="AB403" s="5" t="s">
        <v>46</v>
      </c>
      <c r="AC403" s="16" t="s">
        <v>46</v>
      </c>
      <c r="AJ403" s="2"/>
      <c r="AO403" s="18"/>
    </row>
    <row r="404" spans="1:41" ht="36" hidden="1" customHeight="1" x14ac:dyDescent="0.15">
      <c r="A404" s="7" t="s">
        <v>30</v>
      </c>
      <c r="B404" s="8" t="s">
        <v>2505</v>
      </c>
      <c r="C404" s="8" t="s">
        <v>2506</v>
      </c>
      <c r="D404" s="8" t="s">
        <v>64</v>
      </c>
      <c r="E404" s="8" t="s">
        <v>218</v>
      </c>
      <c r="F404" s="5">
        <v>2015</v>
      </c>
      <c r="G404" s="5">
        <v>183</v>
      </c>
      <c r="H404" s="5">
        <v>199</v>
      </c>
      <c r="I404" s="8" t="s">
        <v>2507</v>
      </c>
      <c r="J404" s="13" t="s">
        <v>2508</v>
      </c>
      <c r="K404" s="8" t="s">
        <v>37</v>
      </c>
      <c r="L404" s="5" t="s">
        <v>38</v>
      </c>
      <c r="M404" s="8" t="s">
        <v>39</v>
      </c>
      <c r="N404" s="8" t="s">
        <v>40</v>
      </c>
      <c r="O404" s="8" t="s">
        <v>41</v>
      </c>
      <c r="P404" s="5" t="s">
        <v>42</v>
      </c>
      <c r="Q404" s="5" t="s">
        <v>67</v>
      </c>
      <c r="R404" s="5"/>
      <c r="S404" s="5" t="s">
        <v>69</v>
      </c>
      <c r="T404" s="5" t="s">
        <v>46</v>
      </c>
      <c r="U404" s="5" t="s">
        <v>46</v>
      </c>
      <c r="V404" s="5" t="s">
        <v>46</v>
      </c>
      <c r="W404" s="5" t="s">
        <v>46</v>
      </c>
      <c r="X404" s="5" t="s">
        <v>47</v>
      </c>
      <c r="Y404" s="5" t="s">
        <v>93</v>
      </c>
      <c r="Z404" s="5" t="s">
        <v>30</v>
      </c>
      <c r="AA404" s="5" t="s">
        <v>93</v>
      </c>
      <c r="AB404" s="5" t="s">
        <v>2509</v>
      </c>
      <c r="AC404" s="16" t="s">
        <v>46</v>
      </c>
      <c r="AJ404" s="2"/>
    </row>
    <row r="405" spans="1:41" ht="36" customHeight="1" x14ac:dyDescent="0.2">
      <c r="A405" s="18" t="s">
        <v>2510</v>
      </c>
      <c r="B405" s="18">
        <f>SUBTOTAL(103,Lit_rev_final[Title])</f>
        <v>342</v>
      </c>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f>SUBTOTAL(103,Lit_rev_final[Og_ID])</f>
        <v>342</v>
      </c>
    </row>
    <row r="406" spans="1:41" ht="36" customHeight="1" x14ac:dyDescent="0.15">
      <c r="C406" s="19" t="s">
        <v>2511</v>
      </c>
      <c r="D406" s="2" t="s">
        <v>2512</v>
      </c>
    </row>
  </sheetData>
  <hyperlinks>
    <hyperlink ref="J12" r:id="rId1" xr:uid="{BEED670A-E2FA-F745-B6D0-3EF423B32FC7}"/>
    <hyperlink ref="J23" r:id="rId2" xr:uid="{8EA799F9-3FF8-5641-9189-EC5BC4C7BBC7}"/>
    <hyperlink ref="J18" r:id="rId3" xr:uid="{3AFFC4C8-EA58-224C-A4A4-16C6CC172D5B}"/>
    <hyperlink ref="J25" r:id="rId4" xr:uid="{80D77E6C-258B-9F44-A5BB-6616EB06B4E0}"/>
    <hyperlink ref="J44" r:id="rId5" xr:uid="{90383351-CE9A-E647-8E93-2CC5972C8CF5}"/>
    <hyperlink ref="J13" r:id="rId6" xr:uid="{0C7B4E49-448B-6A45-8A41-7C3F919B1219}"/>
    <hyperlink ref="J31" r:id="rId7" xr:uid="{B25AB3BF-0D39-9E4F-AC25-3E220250212A}"/>
    <hyperlink ref="J37" r:id="rId8" xr:uid="{0C77293A-4421-C840-B5B8-E55BFE858D5F}"/>
    <hyperlink ref="J29" r:id="rId9" xr:uid="{30A6DFDD-7166-3E49-B2A1-0F756EE755F7}"/>
    <hyperlink ref="J14" r:id="rId10" xr:uid="{8A264ADB-397E-DD44-9944-60411C069DB4}"/>
    <hyperlink ref="J38" r:id="rId11" xr:uid="{C6E7A224-102B-4942-887E-5ED8660DE836}"/>
    <hyperlink ref="J45" r:id="rId12" xr:uid="{45CF1AD0-89B6-154E-A29D-3E1784E4B679}"/>
    <hyperlink ref="J49" r:id="rId13" xr:uid="{C96AC8AA-1D84-8B42-B439-E75B567385C5}"/>
    <hyperlink ref="J32" r:id="rId14" xr:uid="{D53F5D52-9E09-834A-9EAC-8D8C4A22A06F}"/>
    <hyperlink ref="J48" r:id="rId15" xr:uid="{B7492F4E-8ACE-B240-AF75-B62E8E288121}"/>
    <hyperlink ref="J5" r:id="rId16" xr:uid="{834255B6-417F-9E4E-A424-D4350F5F89F0}"/>
    <hyperlink ref="J27" r:id="rId17" xr:uid="{CFF1E0FD-58FE-D24C-B114-F0DE598B3978}"/>
    <hyperlink ref="J11" r:id="rId18" xr:uid="{6ADCF9A5-B04C-2641-B702-2B9742EAD36B}"/>
    <hyperlink ref="J21" r:id="rId19" xr:uid="{711CAD46-283D-C749-8D5B-BB0078740378}"/>
    <hyperlink ref="J20" r:id="rId20" xr:uid="{0861BB9C-D269-D843-9B2F-0C2E5DDB9DC8}"/>
    <hyperlink ref="J22" r:id="rId21" xr:uid="{8F111810-EDC5-0C4D-805B-7921CEBFB1D3}"/>
    <hyperlink ref="J7" r:id="rId22" xr:uid="{CA79069D-DE16-8640-8A85-1CD46D40DAA4}"/>
    <hyperlink ref="J10" r:id="rId23" xr:uid="{33FD63D3-3763-1B47-88FA-184B1FC71977}"/>
    <hyperlink ref="J8" r:id="rId24" xr:uid="{CBF76B73-EBE8-7141-B222-1BBD89054FC9}"/>
    <hyperlink ref="J6" r:id="rId25" xr:uid="{4BAD3163-CC1F-9540-9771-8A4F9662B805}"/>
    <hyperlink ref="J34" r:id="rId26" xr:uid="{4DE8FE7C-125B-7F4F-8B01-0C5EC00DE372}"/>
    <hyperlink ref="J33" r:id="rId27" xr:uid="{2064DA1A-AA24-3B4E-9F4F-98F169E14F01}"/>
    <hyperlink ref="J35" r:id="rId28" xr:uid="{A2D62FC4-726E-5442-AC59-D8A2E7BD99B1}"/>
    <hyperlink ref="J36" r:id="rId29" xr:uid="{E110BA20-E71F-FE40-8B24-F4FA4EB00B51}"/>
    <hyperlink ref="J39" r:id="rId30" xr:uid="{40C8E470-F07C-DC48-8E04-C47C04D9F1FF}"/>
    <hyperlink ref="J41" r:id="rId31" xr:uid="{4F052789-90E3-FC4F-BC50-8E291D1BB56E}"/>
    <hyperlink ref="J28" r:id="rId32" xr:uid="{515AC9DA-4A25-D340-872C-B32F52E6A6CC}"/>
    <hyperlink ref="J42" r:id="rId33" xr:uid="{A5B131A9-E217-9844-9209-642058A30A2C}"/>
    <hyperlink ref="J30" r:id="rId34" xr:uid="{36032AE2-A87C-7344-A986-86F95509F569}"/>
    <hyperlink ref="J43" r:id="rId35" xr:uid="{8BD05892-B1CA-E240-8C85-A672F16C719C}"/>
    <hyperlink ref="J182" r:id="rId36" xr:uid="{9B4A1D1E-8138-DE41-9933-53AA63C296A0}"/>
    <hyperlink ref="J391" r:id="rId37" xr:uid="{70BA19F7-2E8A-AA43-A276-294C74545188}"/>
    <hyperlink ref="J373" r:id="rId38" xr:uid="{79107CB0-C70E-3342-A7D9-0A57C46604CB}"/>
    <hyperlink ref="J379" r:id="rId39" xr:uid="{4E5AC05F-E933-4448-B502-3F08DAAB8115}"/>
    <hyperlink ref="J371" r:id="rId40" xr:uid="{2E7F9309-D8AD-B448-B9F3-2E311F2BAFE3}"/>
    <hyperlink ref="J388" r:id="rId41" xr:uid="{1A59B5C9-52FA-AC44-890A-6FCF84C2B3AB}"/>
    <hyperlink ref="J352" r:id="rId42" xr:uid="{F38295D2-0EFE-1F48-A4D6-DCDCE336DBA4}"/>
    <hyperlink ref="J346" r:id="rId43" xr:uid="{462F2F72-0A65-2643-9415-CB80EAD66345}"/>
    <hyperlink ref="J380" r:id="rId44" xr:uid="{F5CE16E7-3932-0F43-A4AD-645F87369580}"/>
    <hyperlink ref="J366" r:id="rId45" xr:uid="{659E2E4C-6966-B542-83A6-9632EEF0C0E1}"/>
    <hyperlink ref="J183" r:id="rId46" xr:uid="{8ACEAF7C-122D-BF42-AF68-C0257DC4584C}"/>
    <hyperlink ref="J367" r:id="rId47" xr:uid="{07E79973-708F-9242-AE04-759B1421DBCC}"/>
    <hyperlink ref="J385" r:id="rId48" xr:uid="{AD1E907C-FDEE-F74D-A412-02C49E854B9F}"/>
    <hyperlink ref="J369" r:id="rId49" xr:uid="{3DB45FC3-2C20-0948-AFEA-7F946D0D9807}"/>
    <hyperlink ref="J383" r:id="rId50" xr:uid="{8241055D-4A8F-334A-99E0-ABC2F89E6721}"/>
    <hyperlink ref="J372" r:id="rId51" xr:uid="{9ECF7CA0-682F-9E43-B424-960D30A8F360}"/>
    <hyperlink ref="J389" r:id="rId52" xr:uid="{444C7D63-AA0E-494B-B978-D8A6F28ACE0A}"/>
    <hyperlink ref="J381" r:id="rId53" xr:uid="{3F1B4EDC-58E3-2A4B-97ED-69E8F55D876B}"/>
    <hyperlink ref="J353" r:id="rId54" xr:uid="{4CFA089F-CD43-B74A-AD1B-6082A57AF8A2}"/>
    <hyperlink ref="J344" r:id="rId55" xr:uid="{2352B97A-1736-2849-9E6B-1E5111FCC1B0}"/>
    <hyperlink ref="J370" r:id="rId56" xr:uid="{D59A70DB-ED82-814F-B92E-B67EC6FC6A75}"/>
    <hyperlink ref="J386" r:id="rId57" xr:uid="{27B1A6DC-7E77-254B-8B42-347EEAE249BB}"/>
    <hyperlink ref="J387" r:id="rId58" xr:uid="{4E70C72E-C9CE-9449-8364-92627D4453C0}"/>
    <hyperlink ref="J374" r:id="rId59" xr:uid="{EF9E3777-F714-3A4C-B7FC-4DA889738031}"/>
    <hyperlink ref="J390" r:id="rId60" xr:uid="{68E69B9E-BA47-774B-8334-CEB566A1B17E}"/>
    <hyperlink ref="J378" r:id="rId61" xr:uid="{9B5F5409-18A9-314B-9B98-4553C50559B3}"/>
    <hyperlink ref="J382" r:id="rId62" xr:uid="{894B9D3C-9E90-F84A-B3A2-2AF5E17EB3F5}"/>
    <hyperlink ref="J261" r:id="rId63" xr:uid="{63E9F3F5-E5C8-5D44-8BA6-BEC5C9257913}"/>
    <hyperlink ref="J52" r:id="rId64" xr:uid="{CB4E0A5C-0F80-724D-98AC-09939A8F1110}"/>
    <hyperlink ref="J333" r:id="rId65" xr:uid="{0AA6C33A-A4B2-C343-9DE6-D65B519FA0B8}"/>
    <hyperlink ref="J138" r:id="rId66" xr:uid="{32BECA70-A866-B944-8038-F23A0AA5EF1F}"/>
    <hyperlink ref="J58" r:id="rId67" xr:uid="{7E58BE42-2804-5B41-9A6A-8C54B4344285}"/>
    <hyperlink ref="J139" r:id="rId68" xr:uid="{E626F1CB-E306-2D49-9EE9-6EE16738CA82}"/>
    <hyperlink ref="J40" r:id="rId69" xr:uid="{C22BF633-3D86-5A42-82AB-F35713C59065}"/>
    <hyperlink ref="J359" r:id="rId70" xr:uid="{6861C8C1-0B18-B74C-8F40-5EDF63B7A98B}"/>
    <hyperlink ref="J150" r:id="rId71" xr:uid="{ECEED0B1-34D1-FC44-840E-1B9CC2DD843D}"/>
    <hyperlink ref="J226" r:id="rId72" xr:uid="{2182B63A-3473-6A42-8C4E-1B819B85E3E9}"/>
    <hyperlink ref="J363" r:id="rId73" xr:uid="{FFAE45FE-F157-F24F-9AA7-C60E0C998C1C}"/>
    <hyperlink ref="J165" r:id="rId74" xr:uid="{B176C395-66C8-1A48-B821-975C634CDCFB}"/>
    <hyperlink ref="J167" r:id="rId75" xr:uid="{976D36D5-1222-1347-BA50-9F862F7BA64D}"/>
    <hyperlink ref="J297" r:id="rId76" xr:uid="{2F9565D3-E78C-9744-8C3F-1B043690BFF6}"/>
    <hyperlink ref="J126" r:id="rId77" xr:uid="{978DB456-293E-8B4F-95B9-E9E67D32B8BA}"/>
    <hyperlink ref="J87" r:id="rId78" xr:uid="{6CDE3CE2-01F3-8341-959C-53C9C2DA028A}"/>
    <hyperlink ref="J129" r:id="rId79" xr:uid="{61D756C1-57E0-7A4B-A425-BD228F1F7888}"/>
    <hyperlink ref="J201" r:id="rId80" xr:uid="{176042A5-CC05-3C4E-A89C-F325400656AC}"/>
    <hyperlink ref="J132" r:id="rId81" xr:uid="{85BCCBF6-76FA-AF48-8C45-141B9CF87852}"/>
    <hyperlink ref="J356" r:id="rId82" xr:uid="{CF8BC656-586A-304B-8776-C20BDE71D8BE}"/>
    <hyperlink ref="J209" r:id="rId83" xr:uid="{B9EE5B09-0F6C-DF46-941A-D148FF7C4CEF}"/>
    <hyperlink ref="J133" r:id="rId84" xr:uid="{8009FCB3-EAD8-5A48-9088-C994EBB807A1}"/>
    <hyperlink ref="J59" r:id="rId85" xr:uid="{31E3D6A5-0EC4-654A-8C91-73E724D4B1EE}"/>
    <hyperlink ref="J148" r:id="rId86" xr:uid="{9D1A4108-22AF-5643-8BBB-77545CB940F8}"/>
    <hyperlink ref="J335" r:id="rId87" xr:uid="{38220229-1C81-3B40-B20E-5BBA05348279}"/>
    <hyperlink ref="J220" r:id="rId88" xr:uid="{36B268D1-7DD0-9B47-BA37-7527B4BFAD1C}"/>
    <hyperlink ref="J144" r:id="rId89" xr:uid="{65179C67-43B4-4640-B7F5-D7F86511666E}"/>
    <hyperlink ref="J228" r:id="rId90" xr:uid="{8DAB4303-119D-2141-9A14-58D3899D47A1}"/>
    <hyperlink ref="J152" r:id="rId91" xr:uid="{982D0EEF-23C2-D44A-98B9-DE3479CA252B}"/>
    <hyperlink ref="J154" r:id="rId92" xr:uid="{0E704D0E-885A-F644-9C8F-EB53D0F049A2}"/>
    <hyperlink ref="J65" r:id="rId93" xr:uid="{2B6F072D-5B3E-2E4B-81E5-9CCC4CFA8650}"/>
    <hyperlink ref="J155" r:id="rId94" xr:uid="{DCF71FDF-9B7D-2147-811A-9C1BB981184D}"/>
    <hyperlink ref="J156" r:id="rId95" xr:uid="{5FB82809-57A5-2A46-B50F-CEC1809DA340}"/>
    <hyperlink ref="J157" r:id="rId96" xr:uid="{AA57D3EB-FB76-E543-BB62-62210C2E33F3}"/>
    <hyperlink ref="J260" r:id="rId97" xr:uid="{CE1CA62E-0E95-AA47-8CE5-0A1CA4DE7095}"/>
    <hyperlink ref="J159" r:id="rId98" xr:uid="{2D4BF36B-3DBE-F64F-B643-95A055798B02}"/>
    <hyperlink ref="J67" r:id="rId99" xr:uid="{9BFF3483-7C2F-CC48-8E47-75D8B2B0128D}"/>
    <hyperlink ref="J184" r:id="rId100" xr:uid="{8759EDAA-A228-F44B-BD07-51677487DA18}"/>
    <hyperlink ref="J384" r:id="rId101" xr:uid="{A7C21EEB-B9E1-3548-B2E2-94B828F8C8E0}"/>
    <hyperlink ref="J295" r:id="rId102" xr:uid="{5E6D032F-83C0-E448-9D33-6E227C20A04A}"/>
    <hyperlink ref="J80" r:id="rId103" xr:uid="{5E8B136F-6CDF-0B46-B421-C4FE03CFB180}"/>
    <hyperlink ref="J312" r:id="rId104" xr:uid="{E8C4AA89-165E-EF4D-92D1-E2BA229FEEA6}"/>
    <hyperlink ref="J316" r:id="rId105" xr:uid="{59883F21-83D1-D247-9A5A-7B3D5C19754D}"/>
    <hyperlink ref="J120" r:id="rId106" xr:uid="{2D08BD77-BDDD-A643-AFF7-F2D8EA6E6CDC}"/>
    <hyperlink ref="J74" r:id="rId107" xr:uid="{C95E3B4C-18E3-0E49-A9FF-4CE849F5B9BF}"/>
    <hyperlink ref="J317" r:id="rId108" xr:uid="{B263884E-9D45-E24A-B43E-EB4FDD793C2D}"/>
    <hyperlink ref="J125" r:id="rId109" xr:uid="{094AA5C7-08B2-DA43-83A2-9C75AF772105}"/>
    <hyperlink ref="J86" r:id="rId110" xr:uid="{627FA9AF-1BB9-6F4B-9D11-3F02AF71B2C3}"/>
    <hyperlink ref="J51" r:id="rId111" xr:uid="{27A487CE-90BC-9B41-ABD2-7483514612B5}"/>
    <hyperlink ref="J127" r:id="rId112" xr:uid="{1D5AC7D8-770D-4E46-9031-BBE4EEEEDAEE}"/>
    <hyperlink ref="J54" r:id="rId113" xr:uid="{5C018412-F945-4848-9503-729B498DC18A}"/>
    <hyperlink ref="J188" r:id="rId114" xr:uid="{B95D2C29-6C1C-BF4B-A4AD-DE98D76F461A}"/>
    <hyperlink ref="J128" r:id="rId115" xr:uid="{CD48857B-A22B-584A-BE93-F15EB774E911}"/>
    <hyperlink ref="J89" r:id="rId116" xr:uid="{E38CAAF9-CC1C-F740-AA65-B18DCCB79D44}"/>
    <hyperlink ref="J130" r:id="rId117" xr:uid="{1239B911-9F05-B547-BD09-6847F45F1D53}"/>
    <hyperlink ref="J55" r:id="rId118" xr:uid="{BDE0ECAD-74C7-1748-9A57-C29574B45635}"/>
    <hyperlink ref="J334" r:id="rId119" xr:uid="{BB57746D-8A2E-8245-B06C-A326B4288467}"/>
    <hyperlink ref="J197" r:id="rId120" xr:uid="{CDA32761-B246-404E-B8C3-03CFF856F562}"/>
    <hyperlink ref="J200" r:id="rId121" xr:uid="{5319E268-BD16-DA4D-8216-4AA63FDA9E74}"/>
    <hyperlink ref="J131" r:id="rId122" xr:uid="{40AD7B1E-8564-934C-9A4A-40938AD05489}"/>
    <hyperlink ref="J134" r:id="rId123" xr:uid="{848559F8-DC0E-7941-A883-7AC56CF832D7}"/>
    <hyperlink ref="J135" r:id="rId124" xr:uid="{F482BE07-9BE2-0A44-AE7A-7E427E828BC6}"/>
    <hyperlink ref="J57" r:id="rId125" xr:uid="{62B6E7F6-0891-DC4F-880F-813A3C3A7A73}"/>
    <hyperlink ref="J211" r:id="rId126" xr:uid="{A443E495-6A71-0E4B-B93A-86D7D410D4AE}"/>
    <hyperlink ref="J94" r:id="rId127" xr:uid="{D4B1BFEC-05C3-BF44-8F52-8B61E0942E89}"/>
    <hyperlink ref="J213" r:id="rId128" xr:uid="{4A556B2B-2837-4E44-AC26-864AA640C9CA}"/>
    <hyperlink ref="J96" r:id="rId129" xr:uid="{CBEB7E7C-5025-904B-9FE7-E57C1F3321E5}"/>
    <hyperlink ref="J97" r:id="rId130" xr:uid="{DC4F7C5A-FDAB-BB4D-A84A-6AA839D2B6ED}"/>
    <hyperlink ref="J357" r:id="rId131" xr:uid="{89E99FA2-6B1C-3644-856B-4D3AB68D080C}"/>
    <hyperlink ref="J173" r:id="rId132" xr:uid="{7F6ACDB3-34F3-F048-9AFB-9AC8D53500A5}"/>
    <hyperlink ref="J358" r:id="rId133" xr:uid="{34941BFB-D348-9943-AD61-13980C31FD7F}"/>
    <hyperlink ref="J60" r:id="rId134" xr:uid="{DCE5B5D0-7AE1-2346-9A32-F26635F63E4F}"/>
    <hyperlink ref="J151" r:id="rId135" xr:uid="{1396B89C-01DB-6D47-9611-C08623DB0FB0}"/>
    <hyperlink ref="J219" r:id="rId136" xr:uid="{30437904-2326-A841-8163-8A5FEE98555C}"/>
    <hyperlink ref="J141" r:id="rId137" xr:uid="{609F60CB-21A7-1B42-B65D-1DEADFDAF214}"/>
    <hyperlink ref="J98" r:id="rId138" xr:uid="{65A8EFBA-3BBC-644B-9721-174C4153FC55}"/>
    <hyperlink ref="J78" r:id="rId139" xr:uid="{52D18D37-1475-224E-B094-4E971746F083}"/>
    <hyperlink ref="J142" r:id="rId140" xr:uid="{98284E8C-FFCE-E748-8EB2-056BCDAEAEE4}"/>
    <hyperlink ref="J326" r:id="rId141" xr:uid="{CBBC8064-DC1A-9B4F-833D-2982D461D441}"/>
    <hyperlink ref="J61" r:id="rId142" xr:uid="{B65B41D4-9BFD-C940-B591-DB5A35E0DF7C}"/>
    <hyperlink ref="J222" r:id="rId143" xr:uid="{016DBF7A-D8AC-C548-AB42-599BD2224101}"/>
    <hyperlink ref="J225" r:id="rId144" xr:uid="{8CC93746-750C-5744-BA9E-CD391B495231}"/>
    <hyperlink ref="J143" r:id="rId145" xr:uid="{C9391C29-356D-4340-97A1-6D86E1397316}"/>
    <hyperlink ref="J174" r:id="rId146" xr:uid="{639D3258-E8C2-1142-ACA9-DE6570F93D65}"/>
    <hyperlink ref="J146" r:id="rId147" xr:uid="{FF661EDB-5FC7-AA42-B47D-0AF7CC2BBD65}"/>
    <hyperlink ref="J147" r:id="rId148" xr:uid="{47242302-645B-4447-9B5B-1BB4C01378C9}"/>
    <hyperlink ref="J99" r:id="rId149" xr:uid="{144246CA-71DE-6E44-B0D4-51D8D09708CB}"/>
    <hyperlink ref="J83" r:id="rId150" xr:uid="{10E454D3-821D-8A4B-9675-65A1CC243D06}"/>
    <hyperlink ref="J145" r:id="rId151" xr:uid="{87C87668-D27E-394E-85F4-83FF9A278AC1}"/>
    <hyperlink ref="J149" r:id="rId152" xr:uid="{607CB185-4DA7-CE4C-9DB2-D6F81A2A25D7}"/>
    <hyperlink ref="J360" r:id="rId153" xr:uid="{84D19EC8-03A6-BC42-B79D-3D18E9D56DB0}"/>
    <hyperlink ref="J327" r:id="rId154" xr:uid="{C3D92CF3-ED61-5745-B94B-3195A4CDB406}"/>
    <hyperlink ref="J362" r:id="rId155" xr:uid="{4796EF0E-118B-EB45-A732-890C096D7697}"/>
    <hyperlink ref="J153" r:id="rId156" xr:uid="{73A520E9-C6F3-724B-8516-0C6F3C11F032}"/>
    <hyperlink ref="J328" r:id="rId157" xr:uid="{4922A853-E083-7241-8A67-09865609BCA9}"/>
    <hyperlink ref="J63" r:id="rId158" xr:uid="{EFF8B71F-4CD8-1F4C-96DD-DA34A482D0C5}"/>
    <hyperlink ref="J242" r:id="rId159" xr:uid="{56D03832-EF2E-CA49-B0DC-4EA1834156FE}"/>
    <hyperlink ref="J64" r:id="rId160" xr:uid="{7BE0F3E3-9494-F445-96F1-87275F3081BD}"/>
    <hyperlink ref="J364" r:id="rId161" xr:uid="{8EA20E5E-D594-8A44-ABB5-F3EA2EC871C8}"/>
    <hyperlink ref="J253" r:id="rId162" xr:uid="{84F6706E-9909-6144-B48C-07B2D84783A9}"/>
    <hyperlink ref="J105" r:id="rId163" xr:uid="{975A82CF-4CF8-F045-8BCE-A0EE772FD950}"/>
    <hyperlink ref="J158" r:id="rId164" xr:uid="{72C45673-4148-6C46-9E31-7AF1867126D2}"/>
    <hyperlink ref="J106" r:id="rId165" xr:uid="{580B9BE8-8503-B643-923B-F953F86B6F63}"/>
    <hyperlink ref="J263" r:id="rId166" xr:uid="{88AF93FC-2726-7748-B8B2-BEB0FF80A557}"/>
    <hyperlink ref="J66" r:id="rId167" xr:uid="{35C456DA-AA28-004A-9CE9-0361A09CE5E6}"/>
    <hyperlink ref="J108" r:id="rId168" xr:uid="{1B1B1A34-2F0C-0D41-BBCD-D00FF43C46EB}"/>
    <hyperlink ref="J68" r:id="rId169" xr:uid="{39953A2B-8C83-8F45-AE98-7EA2A0956F62}"/>
    <hyperlink ref="J161" r:id="rId170" xr:uid="{C28680B5-55F3-E84B-BCBC-71DAD22BA3FC}"/>
    <hyperlink ref="J272" r:id="rId171" xr:uid="{06906580-E139-7D41-AFBF-88D5394B5DD6}"/>
    <hyperlink ref="J162" r:id="rId172" xr:uid="{E3A2A745-235A-FC43-8E59-397ACE06D682}"/>
    <hyperlink ref="J274" r:id="rId173" xr:uid="{FE170C47-E619-4A47-BACA-CF566E17D0B6}"/>
    <hyperlink ref="J109" r:id="rId174" xr:uid="{A5BB165A-7B5F-0141-97E2-A955E8B20554}"/>
    <hyperlink ref="J163" r:id="rId175" xr:uid="{969464C6-8914-3D44-B225-A112998FCF19}"/>
    <hyperlink ref="J110" r:id="rId176" xr:uid="{411BC571-7F75-5445-949D-24668881A665}"/>
    <hyperlink ref="J365" r:id="rId177" xr:uid="{89FF3E38-BA92-3E41-B18F-19F16CEC9602}"/>
    <hyperlink ref="J282" r:id="rId178" xr:uid="{E4DB468F-1C18-2F48-A945-609DEFD3E41F}"/>
    <hyperlink ref="J283" r:id="rId179" xr:uid="{9A153467-DCA8-0F41-AC90-17EEF3221045}"/>
    <hyperlink ref="J164" r:id="rId180" xr:uid="{02566C84-BCFE-8549-AEBD-71DB1D82D040}"/>
    <hyperlink ref="J293" r:id="rId181" xr:uid="{B0259DFE-C863-0F43-9B80-3C897C53D653}"/>
    <hyperlink ref="J71" r:id="rId182" xr:uid="{CA710D6D-97C7-7E48-91BA-B3DCB63C3DAE}"/>
    <hyperlink ref="J166" r:id="rId183" xr:uid="{7D25B826-780F-EA46-B7A5-98AEF493102E}"/>
    <hyperlink ref="J330" r:id="rId184" xr:uid="{EAE10FF8-6764-F442-8D9F-700FC5FE7BF8}"/>
    <hyperlink ref="J331" r:id="rId185" xr:uid="{7C2C996F-2051-BA4C-A0EE-3719D51BCB6D}"/>
    <hyperlink ref="J304" r:id="rId186" xr:uid="{EDC2002C-176F-D945-9E9D-B7122EA6FF7C}"/>
    <hyperlink ref="J169" r:id="rId187" xr:uid="{6899D9BF-C210-1449-ADEB-F3CE22532B3C}"/>
    <hyperlink ref="J315" r:id="rId188" xr:uid="{916191D2-7128-B846-8083-D333AFCD434D}"/>
    <hyperlink ref="J318" r:id="rId189" xr:uid="{955381E3-681E-0143-AF7C-5C641BFAB2D1}"/>
    <hyperlink ref="J75" r:id="rId190" xr:uid="{8F109B62-2256-1845-85C3-2E6FAD35D2A1}"/>
    <hyperlink ref="J170" r:id="rId191" xr:uid="{CF9578C2-A1DD-BB4E-9AE9-1F7DE77AE1BD}"/>
    <hyperlink ref="J343" r:id="rId192" xr:uid="{AFAF4F44-2FEA-2E4A-8A2B-14949445E4F2}"/>
    <hyperlink ref="J76" r:id="rId193" xr:uid="{012DB763-883B-FB41-A808-176E2716A73F}"/>
    <hyperlink ref="J321" r:id="rId194" xr:uid="{10DFD837-AA36-C043-B54E-448A59FF5860}"/>
    <hyperlink ref="J172" r:id="rId195" xr:uid="{B46AADAA-CAEA-F141-B62A-9C309CF45632}"/>
    <hyperlink ref="J77" r:id="rId196" xr:uid="{A6965BC5-5308-0D46-B9EB-3C75E70E60C7}"/>
    <hyperlink ref="J124" r:id="rId197" xr:uid="{6CECD306-DB6A-1644-BDA4-95C211357988}"/>
    <hyperlink ref="J186" r:id="rId198" xr:uid="{708128AF-E653-AE4A-B286-95EEBA18515B}"/>
    <hyperlink ref="J90" r:id="rId199" xr:uid="{64CB4A25-F616-B343-993E-CDB7094C9670}"/>
    <hyperlink ref="J56" r:id="rId200" xr:uid="{6CA76AD6-3EF0-8541-BA05-9F3DF2ECCDA2}"/>
    <hyperlink ref="J93" r:id="rId201" xr:uid="{0BD2413A-E2CA-4245-A2F1-FC56FAE21086}"/>
    <hyperlink ref="J205" r:id="rId202" xr:uid="{E7DEA935-ACF1-AC4D-AC75-292E06084C04}"/>
    <hyperlink ref="J136" r:id="rId203" xr:uid="{E9D13F93-DECF-CA40-B859-A856426FB8A4}"/>
    <hyperlink ref="J84" r:id="rId204" xr:uid="{3BF97F89-B062-7B4C-835B-CC7F267B2BF5}"/>
    <hyperlink ref="J140" r:id="rId205" xr:uid="{C7C0D302-1D67-2941-B20D-EF9124A5EC7E}"/>
    <hyperlink ref="J221" r:id="rId206" xr:uid="{3FBA4F84-3DB2-4146-A0A2-3E709E4D461B}"/>
    <hyperlink ref="J85" r:id="rId207" xr:uid="{2CFF8DE4-19E9-2647-AEA2-4BD55AFE2236}"/>
    <hyperlink ref="J100" r:id="rId208" xr:uid="{0FA16BCA-0059-454D-ADA4-C74E4555732A}"/>
    <hyperlink ref="J79" r:id="rId209" xr:uid="{2D4000FD-625A-124E-8275-37D7775B7408}"/>
    <hyperlink ref="J181" r:id="rId210" xr:uid="{E3C0B824-094C-424C-9A65-4D062188CF51}"/>
    <hyperlink ref="J341" r:id="rId211" xr:uid="{11DA1F01-C494-594E-A705-9F1CA58C8CEA}"/>
    <hyperlink ref="J270" r:id="rId212" xr:uid="{447CB938-97EC-5948-AE43-2AD8BF9647A0}"/>
    <hyperlink ref="J160" r:id="rId213" xr:uid="{4E4C39F0-A9D2-9946-9B62-E15B3E92A88F}"/>
    <hyperlink ref="J69" r:id="rId214" xr:uid="{7BCCE063-35E2-7D44-B152-E7174C253C83}"/>
    <hyperlink ref="J329" r:id="rId215" xr:uid="{1173F9F0-00DE-E24C-9813-FDA16C6D7011}"/>
    <hyperlink ref="J73" r:id="rId216" xr:uid="{5ADB8F73-C15E-C449-B185-874E906E3686}"/>
    <hyperlink ref="J171" r:id="rId217" xr:uid="{36947F91-50C7-6A4F-A78A-F82E705693C0}"/>
    <hyperlink ref="J47" r:id="rId218" xr:uid="{6E65A0EC-F4C4-3548-BA70-3F8D4E5FAA6C}"/>
    <hyperlink ref="J19" r:id="rId219" xr:uid="{CD2BCA63-5EFC-7649-B79C-6FF75F0C95BA}"/>
    <hyperlink ref="J62" r:id="rId220" xr:uid="{F61687F4-1B03-8E48-9438-11D39CF86265}"/>
    <hyperlink ref="J70" r:id="rId221" xr:uid="{126B0A05-EF8E-C949-BDC1-7A984C818EE6}"/>
    <hyperlink ref="J117" r:id="rId222" xr:uid="{8D161398-5E9D-5344-AC1F-38F92194F22C}"/>
    <hyperlink ref="J53" r:id="rId223" xr:uid="{7BAAA2D6-184F-6A4A-B94F-AF00EAB63048}"/>
    <hyperlink ref="J332" r:id="rId224" xr:uid="{9D7BC11F-37AE-5A49-9AD0-CBB0243D56CD}"/>
    <hyperlink ref="J46" r:id="rId225" xr:uid="{67798E0A-A20B-834C-9035-4D53F0373380}"/>
    <hyperlink ref="J185" r:id="rId226" xr:uid="{2E2CA0D2-E567-A845-A749-0BB28C558017}"/>
    <hyperlink ref="J231" r:id="rId227" xr:uid="{387689DC-4951-F74E-B1C0-73A6F85F182E}"/>
    <hyperlink ref="J288" r:id="rId228" xr:uid="{F23B408F-B67F-7249-8E18-6B9EC31CECEB}"/>
    <hyperlink ref="J101" r:id="rId229" xr:uid="{738778BA-77AE-D244-A9FA-81DF5E608237}"/>
    <hyperlink ref="J311" r:id="rId230" xr:uid="{CC150976-55A4-1242-BEC5-70D35E9B4E5A}"/>
    <hyperlink ref="J206" r:id="rId231" xr:uid="{931981F9-02B1-264F-93B5-FE3B8697385C}"/>
    <hyperlink ref="J196" r:id="rId232" xr:uid="{F1706CEC-9242-AC43-9B54-5B12CF642B27}"/>
    <hyperlink ref="J347" r:id="rId233" xr:uid="{D3BE8320-9C1B-2549-8D8D-E19B71188D45}"/>
    <hyperlink ref="J212" r:id="rId234" xr:uid="{0C2BAFB6-3B2A-C24E-9278-9F8A518AF90A}"/>
    <hyperlink ref="J175" r:id="rId235" xr:uid="{AD186464-8A0C-DF4C-A49E-21951D0680C2}"/>
    <hyperlink ref="J264" r:id="rId236" xr:uid="{C5617889-AB36-D94B-85CC-EE845D69A725}"/>
    <hyperlink ref="J113" r:id="rId237" xr:uid="{6FAE92A6-2786-1E4A-BE01-1D55DF396F10}"/>
    <hyperlink ref="J302" r:id="rId238" xr:uid="{09D93873-C6B3-CE48-9E54-0A6E0339EE2D}"/>
    <hyperlink ref="J307" r:id="rId239" xr:uid="{29FA3422-130F-4B4E-B5C4-4D022D0BD8B1}"/>
    <hyperlink ref="J176" r:id="rId240" xr:uid="{A22FB250-EDA5-A841-9370-047D08D2BD53}"/>
    <hyperlink ref="J278" r:id="rId241" xr:uid="{BCD25BDB-FE5F-434F-99BC-009B68E96E54}"/>
    <hyperlink ref="J281" r:id="rId242" xr:uid="{DD36F7D5-6573-314E-BFBA-0BA25C60BB92}"/>
    <hyperlink ref="J287" r:id="rId243" xr:uid="{C94D5CAE-7A2F-304F-8519-0C89767F084D}"/>
    <hyperlink ref="J294" r:id="rId244" xr:uid="{DC71E66B-7905-B943-B8D8-5E894123452C}"/>
    <hyperlink ref="J168" r:id="rId245" xr:uid="{99FBDC02-4AE2-FF43-84F3-95BC69DB7A50}"/>
    <hyperlink ref="J323" r:id="rId246" xr:uid="{4376E29A-0056-224F-9AF0-676E5D02647D}"/>
    <hyperlink ref="J324" r:id="rId247" xr:uid="{4DB035A0-6C6C-A346-8EEC-CC9C468C6A65}"/>
    <hyperlink ref="J92" r:id="rId248" xr:uid="{FB380ECB-1A28-BD45-9864-D15BF718CF5A}"/>
    <hyperlink ref="J177" r:id="rId249" xr:uid="{3DADA899-AD87-2F44-A3CF-2C2E4B72B9C2}"/>
    <hyperlink ref="J227" r:id="rId250" xr:uid="{79FFDB5E-DB91-A844-9A45-F81CD5AD0C50}"/>
    <hyperlink ref="J254" r:id="rId251" xr:uid="{4945188B-251E-0743-8BB3-F0AC85CF87B4}"/>
    <hyperlink ref="J267" r:id="rId252" xr:uid="{F18BE246-FC7F-FD43-AB80-35ADA73E1B90}"/>
    <hyperlink ref="J298" r:id="rId253" xr:uid="{C54FC518-940F-D24F-835B-0EEC0FEBF4BB}"/>
    <hyperlink ref="J116" r:id="rId254" xr:uid="{8830837F-E8FB-F84F-8B7E-6613636D9C91}"/>
    <hyperlink ref="J191" r:id="rId255" xr:uid="{6D51A8F4-A069-8E4C-AF4D-A96EFC6BCBC2}"/>
    <hyperlink ref="J91" r:id="rId256" xr:uid="{F7A65AE5-58E1-AE43-865A-BD5AC72A61A8}"/>
    <hyperlink ref="J207" r:id="rId257" xr:uid="{52933939-4292-1D46-A26A-08CC0886F28D}"/>
    <hyperlink ref="J255" r:id="rId258" xr:uid="{6EAE9C19-7703-6242-85A3-8DC546CD0046}"/>
    <hyperlink ref="J339" r:id="rId259" xr:uid="{6512D29F-6CA9-1E4E-AF83-CA75D04403BD}"/>
    <hyperlink ref="J262" r:id="rId260" xr:uid="{FD516329-1ED3-CA4B-A087-217656D317B7}"/>
    <hyperlink ref="J292" r:id="rId261" xr:uid="{C71C1C70-1C9E-C146-AB47-A80E235143D9}"/>
    <hyperlink ref="J88" r:id="rId262" xr:uid="{4A2CA796-433B-ED4B-B7F1-E3665B79BF4F}"/>
    <hyperlink ref="J194" r:id="rId263" xr:uid="{BB883614-F1A7-0C41-8F65-F8547C7FCB3A}"/>
    <hyperlink ref="J208" r:id="rId264" xr:uid="{73593041-B24F-614E-8757-26C38430423D}"/>
    <hyperlink ref="J218" r:id="rId265" xr:uid="{1BDEB9CD-A049-CB4B-BEAF-40FA4FC5C4A4}"/>
    <hyperlink ref="J233" r:id="rId266" xr:uid="{3EB8038C-325D-D34C-AAF4-179F0410BBF0}"/>
    <hyperlink ref="J243" r:id="rId267" xr:uid="{0A67DDDE-A2AB-2848-A89E-60F5E40D1AFA}"/>
    <hyperlink ref="J178" r:id="rId268" xr:uid="{074A2466-3971-764E-85FC-9A4468F839FF}"/>
    <hyperlink ref="J350" r:id="rId269" xr:uid="{C6924481-1380-A040-BEA2-B8C28429DBF3}"/>
    <hyperlink ref="J192" r:id="rId270" xr:uid="{55B2B11A-AC54-1C41-87B4-7B8EB89FECA0}"/>
    <hyperlink ref="J193" r:id="rId271" xr:uid="{4658367E-49A3-E841-9B80-59F5EE0984BB}"/>
    <hyperlink ref="J203" r:id="rId272" xr:uid="{7AA755E4-D50E-4F4E-BAD5-BB3375E40BA1}"/>
    <hyperlink ref="J223" r:id="rId273" xr:uid="{740ABB10-2071-6742-8BC2-D71396838178}"/>
    <hyperlink ref="J230" r:id="rId274" xr:uid="{DE605B6C-5BC5-7443-8759-2715079EA0F9}"/>
    <hyperlink ref="J235" r:id="rId275" xr:uid="{1D2DEB94-AA3B-EF42-B551-1095DA2EBC44}"/>
    <hyperlink ref="J248" r:id="rId276" xr:uid="{1642B569-46B9-9447-9EBD-D0FB51A7B0D5}"/>
    <hyperlink ref="J338" r:id="rId277" xr:uid="{53F7B435-4079-284F-8D31-F5309A505F62}"/>
    <hyperlink ref="J250" r:id="rId278" xr:uid="{48DD7D9B-1799-8649-ADF3-82837D1357FE}"/>
    <hyperlink ref="J265" r:id="rId279" xr:uid="{91FC6A76-F83E-2B4E-8E87-312C3029D94B}"/>
    <hyperlink ref="J271" r:id="rId280" xr:uid="{037C7A10-0821-B040-908B-C4397161030B}"/>
    <hyperlink ref="J277" r:id="rId281" xr:uid="{E7D47E88-C528-4048-8BAD-5BF0B0A2FC71}"/>
    <hyperlink ref="J285" r:id="rId282" xr:uid="{D78E9A06-8F65-CE42-BC5B-BDCEA9BCA84F}"/>
    <hyperlink ref="J313" r:id="rId283" xr:uid="{FEEDF96D-8A16-7C4C-AA10-DBEF5F4EEC26}"/>
    <hyperlink ref="J122" r:id="rId284" xr:uid="{46513806-F98B-2442-ACA5-F919EC8298C2}"/>
    <hyperlink ref="J320" r:id="rId285" xr:uid="{64B2DC26-A772-9F4E-A475-CD69D1BEC428}"/>
    <hyperlink ref="J123" r:id="rId286" xr:uid="{78C951E6-CA23-8B46-A1E2-D11F4C327F84}"/>
    <hyperlink ref="J190" r:id="rId287" xr:uid="{A4161396-009B-694F-AB4F-B2889C27B699}"/>
    <hyperlink ref="J210" r:id="rId288" xr:uid="{3887B4B1-C2BF-3D42-99BC-F2982F5036F2}"/>
    <hyperlink ref="J95" r:id="rId289" xr:uid="{CCB3D6A7-689E-E14A-9BBB-AECCDB7E7857}"/>
    <hyperlink ref="J337" r:id="rId290" xr:uid="{7F3C70F9-685A-5A46-8A62-933581843665}"/>
    <hyperlink ref="J234" r:id="rId291" xr:uid="{3C45D109-3E02-384F-9431-1D825A4AE33A}"/>
    <hyperlink ref="J348" r:id="rId292" xr:uid="{EFD10668-E457-BE44-A226-2E53CCE43200}"/>
    <hyperlink ref="J349" r:id="rId293" xr:uid="{4D562622-B56F-6343-8DB9-186E6C23B724}"/>
    <hyperlink ref="J81" r:id="rId294" xr:uid="{7FB17151-D8B6-6F4A-84E0-54B633241429}"/>
    <hyperlink ref="J249" r:id="rId295" xr:uid="{D9A7E965-0B3F-5B45-8B3A-FADAFDEE5043}"/>
    <hyperlink ref="J258" r:id="rId296" xr:uid="{6879FA65-497A-3043-BC57-56302FD219CA}"/>
    <hyperlink ref="J259" r:id="rId297" xr:uid="{8A902059-4ABE-B74E-9FBA-E72321BF142F}"/>
    <hyperlink ref="J280" r:id="rId298" xr:uid="{B544865F-C1EF-2F4B-AA3B-1009E83DAA9D}"/>
    <hyperlink ref="J279" r:id="rId299" xr:uid="{BE9DB73C-E51C-0840-AF1A-9A3D400D1826}"/>
    <hyperlink ref="J112" r:id="rId300" xr:uid="{54414CE5-4DD6-A140-9701-C2E535B2C705}"/>
    <hyperlink ref="J308" r:id="rId301" xr:uid="{84D13121-1FB0-0B40-951A-D49C0E195F25}"/>
    <hyperlink ref="J322" r:id="rId302" xr:uid="{71FB5B38-E366-C546-9DBD-462687152367}"/>
    <hyperlink ref="J187" r:id="rId303" xr:uid="{A3A26F4D-863F-5240-8760-B8461A99891B}"/>
    <hyperlink ref="J198" r:id="rId304" xr:uid="{5550DBF0-7E01-A743-A9A2-127FF0D6C0BC}"/>
    <hyperlink ref="J199" r:id="rId305" xr:uid="{5C41B1EB-8602-8C43-9827-4BC4B39394FE}"/>
    <hyperlink ref="J355" r:id="rId306" xr:uid="{3E5BF6F4-1B6A-104E-8906-0A3C76317786}"/>
    <hyperlink ref="J204" r:id="rId307" xr:uid="{5E50D541-2CB8-0746-AB5B-D66C236148E1}"/>
    <hyperlink ref="J214" r:id="rId308" xr:uid="{DBA21CA2-8031-4E41-8B9F-4187C4426C2A}"/>
    <hyperlink ref="J215" r:id="rId309" xr:uid="{D123DF59-BD0A-4542-8EF8-C18C69E8091B}"/>
    <hyperlink ref="J229" r:id="rId310" xr:uid="{5DD8DD23-DEE8-C84C-AF32-78AB530D943A}"/>
    <hyperlink ref="J241" r:id="rId311" xr:uid="{703BFC77-6019-5B47-AC5D-D78F9A590841}"/>
    <hyperlink ref="J237" r:id="rId312" xr:uid="{2921D7EC-C34E-3242-8D3E-19B577986720}"/>
    <hyperlink ref="J238" r:id="rId313" xr:uid="{28C71BBE-1906-A746-B3F7-75E9F3264F8D}"/>
    <hyperlink ref="J239" r:id="rId314" xr:uid="{3E8AFA55-1056-3542-9E69-3C1FD4B34614}"/>
    <hyperlink ref="J240" r:id="rId315" xr:uid="{4D19ED4F-56CD-F24D-8129-EE6946CFB92C}"/>
    <hyperlink ref="J180" r:id="rId316" xr:uid="{8DE068E1-93D5-DE41-8544-066F5EEDF8D0}"/>
    <hyperlink ref="J244" r:id="rId317" xr:uid="{25D30416-EDEE-FD42-83A0-94201EA9A132}"/>
    <hyperlink ref="J246" r:id="rId318" xr:uid="{4A5F482C-6F9F-8E46-9299-147FF9E83EDE}"/>
    <hyperlink ref="J245" r:id="rId319" xr:uid="{09F02594-D100-C84E-ACAF-DBE3E60F1EA0}"/>
    <hyperlink ref="J103" r:id="rId320" xr:uid="{10A3BD5B-8532-5045-8A2E-41E3A09516B8}"/>
    <hyperlink ref="J251" r:id="rId321" xr:uid="{9BF1842A-EC08-484B-97B1-F167ECCA419C}"/>
    <hyperlink ref="J252" r:id="rId322" xr:uid="{9BFE21AB-BDAC-5240-8A25-F1C1296C2300}"/>
    <hyperlink ref="J104" r:id="rId323" xr:uid="{E05C0316-BFDA-CA48-B66D-9180234C5BA6}"/>
    <hyperlink ref="J107" r:id="rId324" xr:uid="{4A820A9A-4670-F847-8981-7613CB866C52}"/>
    <hyperlink ref="J273" r:id="rId325" xr:uid="{77029B2B-701D-2F4F-9A03-DD172F1233CE}"/>
    <hyperlink ref="J275" r:id="rId326" xr:uid="{8FC3C352-E8C2-EC45-9F04-64941990B03F}"/>
    <hyperlink ref="J111" r:id="rId327" xr:uid="{6435C53B-0E2C-C044-9A79-E2230F5C02BB}"/>
    <hyperlink ref="J342" r:id="rId328" xr:uid="{147BA769-B1BE-2D42-BA97-575BAE9F708D}"/>
    <hyperlink ref="J291" r:id="rId329" xr:uid="{53E0982A-1791-D74A-BB80-34909C7E8F55}"/>
    <hyperlink ref="J114" r:id="rId330" xr:uid="{4CADA792-BCE6-A14B-90F7-65243FD970CF}"/>
    <hyperlink ref="J299" r:id="rId331" xr:uid="{5CCD7C1D-3CA8-5B4F-A87A-A747DADB4E29}"/>
    <hyperlink ref="J303" r:id="rId332" xr:uid="{CB74A39A-D3CE-8B4A-B540-F2ADE5B880E7}"/>
    <hyperlink ref="J300" r:id="rId333" xr:uid="{167056CF-2927-4646-A4AD-1A070A62BB64}"/>
    <hyperlink ref="J301" r:id="rId334" xr:uid="{783A4B44-9D28-4A4E-A751-BC3BF8015883}"/>
    <hyperlink ref="J306" r:id="rId335" xr:uid="{54A97045-387E-9648-ABF7-53C6501967D7}"/>
    <hyperlink ref="J179" r:id="rId336" xr:uid="{2D77897A-182D-8946-BD57-FAC2F41FAA2E}"/>
    <hyperlink ref="J309" r:id="rId337" xr:uid="{15B3A8BC-C212-6643-8F76-802B53EE1909}"/>
    <hyperlink ref="J310" r:id="rId338" xr:uid="{F77F3F77-D19C-7444-B8FB-BBF7FAEAD3C5}"/>
    <hyperlink ref="J118" r:id="rId339" xr:uid="{12F57391-C661-4C43-BE9A-50B8AD3406DA}"/>
    <hyperlink ref="J119" r:id="rId340" xr:uid="{A2BF1409-93BC-0644-95AA-F9CD84C5A88D}"/>
    <hyperlink ref="J314" r:id="rId341" xr:uid="{361BF0E2-6AEC-D44B-8A6C-475A620B975B}"/>
    <hyperlink ref="J325" r:id="rId342" xr:uid="{35933E64-865F-C94B-8B2F-4484BCDFDCC8}"/>
    <hyperlink ref="J354" r:id="rId343" xr:uid="{D85625FE-72E8-1E49-B636-940BC7706049}"/>
    <hyperlink ref="J361" r:id="rId344" xr:uid="{20AFF9BE-4FAF-7A41-A15C-3D2886BB8AA7}"/>
    <hyperlink ref="J257" r:id="rId345" xr:uid="{2862FC6B-8BA2-8545-B10D-442F73424316}"/>
    <hyperlink ref="J340" r:id="rId346" xr:uid="{F1AB744A-53E8-AC47-AECE-DA1F71C2830A}"/>
    <hyperlink ref="J351" r:id="rId347" xr:uid="{191AEC71-EB0B-B04C-96F7-25983A47B997}"/>
    <hyperlink ref="J82" r:id="rId348" xr:uid="{48DB1996-D1E9-8843-9B85-D27ACBB6E028}"/>
    <hyperlink ref="J368" r:id="rId349" xr:uid="{6ADE6ED0-CBE0-B144-94FA-79C62ED758A8}"/>
    <hyperlink ref="J17" r:id="rId350" xr:uid="{E7F90FB0-9D67-4D49-A226-4AD5EF7A1DA2}"/>
    <hyperlink ref="J319" r:id="rId351" xr:uid="{F1C63AF1-130E-364A-AB14-80703551C862}"/>
    <hyperlink ref="J217" r:id="rId352" xr:uid="{5D4BACA3-F669-4844-A45B-72F80C152FAB}"/>
    <hyperlink ref="J266" r:id="rId353" xr:uid="{CBE3B38D-0526-0E48-99E7-96CCB9DC9C35}"/>
    <hyperlink ref="J189" r:id="rId354" xr:uid="{032671FA-5B1D-7D4E-96D5-CDBBA7EC363F}"/>
    <hyperlink ref="J284" r:id="rId355" xr:uid="{A39F892B-63E5-2C45-AD06-D613969F7276}"/>
    <hyperlink ref="J256" r:id="rId356" xr:uid="{2D726F48-A5CC-ED48-A54D-2F2B9FBE47F1}"/>
    <hyperlink ref="J102" r:id="rId357" xr:uid="{F6161EB0-F5A1-404E-83CC-F8241E4B1E81}"/>
    <hyperlink ref="J247" r:id="rId358" xr:uid="{6CD41DFE-8C24-2B47-9192-361D821F8909}"/>
    <hyperlink ref="J236" r:id="rId359" xr:uid="{F509EDF4-3E12-9B4F-8DFD-1F55B8E20246}"/>
    <hyperlink ref="J232" r:id="rId360" xr:uid="{2327ABE9-517D-134E-953B-49C87DFF89CD}"/>
    <hyperlink ref="J195" r:id="rId361" xr:uid="{DA82007D-425C-F848-BF28-F94F79442F2A}"/>
    <hyperlink ref="J26" r:id="rId362" xr:uid="{33D14B66-AF61-B440-A1E0-91F5F267CED5}"/>
    <hyperlink ref="J202" r:id="rId363" xr:uid="{5E6D7636-80C3-794C-A755-D636D7A75329}"/>
    <hyperlink ref="J121" r:id="rId364" xr:uid="{9113417E-1881-F44E-8CE8-B24769BB2C63}"/>
    <hyperlink ref="J216" r:id="rId365" xr:uid="{9BCA9169-1C0F-F948-9DC4-D0E411714193}"/>
    <hyperlink ref="J137" r:id="rId366" xr:uid="{41921BA8-41E0-D44E-9447-F8C3488AC8B2}"/>
    <hyperlink ref="J115" r:id="rId367" xr:uid="{0C438EE7-7315-CC4C-8800-6A7C5C7D0F41}"/>
    <hyperlink ref="J224" r:id="rId368" xr:uid="{0F136423-2682-AE46-AB15-578F500AED2A}"/>
    <hyperlink ref="J336" r:id="rId369" xr:uid="{858BD806-86C8-954C-807D-D2B7E867E920}"/>
    <hyperlink ref="J376" r:id="rId370" xr:uid="{BAD1A0DB-0A86-8D45-BD83-C92D6D2EF140}"/>
    <hyperlink ref="J377" r:id="rId371" xr:uid="{DC28FFF3-3F9A-3742-91C3-D215B6EBC1A8}"/>
    <hyperlink ref="J375" r:id="rId372" xr:uid="{B269001C-BA13-754D-965B-3C5527E475EA}"/>
    <hyperlink ref="J345" r:id="rId373" xr:uid="{485FD09A-F3DE-5F4D-8666-38228713EEAB}"/>
    <hyperlink ref="J50" r:id="rId374" xr:uid="{545B091E-1108-AB45-AD03-AD05717687DF}"/>
    <hyperlink ref="J24" r:id="rId375" xr:uid="{4E453C33-93CD-A44C-8F6E-933095B5D82E}"/>
    <hyperlink ref="J4" r:id="rId376" xr:uid="{8B4C61C8-6A9A-F442-AD04-5AA7E01BB7E0}"/>
    <hyperlink ref="J15" r:id="rId377" xr:uid="{20713191-9284-F44B-BB00-E5C13B57A396}"/>
    <hyperlink ref="J9" r:id="rId378" xr:uid="{2730ADD1-4D3B-9448-B2E1-C19E95A0D5BE}"/>
    <hyperlink ref="J16" r:id="rId379" xr:uid="{80B91C5F-458B-1744-814E-FEB31320DF09}"/>
    <hyperlink ref="J399" r:id="rId380" xr:uid="{24D5F849-034B-3848-8EEF-5F9F73690452}"/>
  </hyperlinks>
  <pageMargins left="0.75" right="0.75" top="1" bottom="1" header="0.5" footer="0.5"/>
  <pageSetup paperSize="9" orientation="portrait" horizontalDpi="0" verticalDpi="0"/>
  <drawing r:id="rId381"/>
  <tableParts count="1">
    <tablePart r:id="rId382"/>
  </tableParts>
  <extLst>
    <ext xmlns:x15="http://schemas.microsoft.com/office/spreadsheetml/2010/11/main" uri="{3A4CF648-6AED-40f4-86FF-DC5316D8AED3}">
      <x14:slicerList xmlns:x14="http://schemas.microsoft.com/office/spreadsheetml/2009/9/main">
        <x14:slicer r:id="rId38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Sys_lit_master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Weller, Lukas</dc:creator>
  <cp:lastModifiedBy>Weller, Lukas</cp:lastModifiedBy>
  <dcterms:created xsi:type="dcterms:W3CDTF">2026-06-01T21:53:45Z</dcterms:created>
  <dcterms:modified xsi:type="dcterms:W3CDTF">2026-06-01T21:54:29Z</dcterms:modified>
</cp:coreProperties>
</file>